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405" windowHeight="12975" tabRatio="936"/>
  </bookViews>
  <sheets>
    <sheet name="清单封面" sheetId="1" r:id="rId1"/>
    <sheet name="备料清单" sheetId="2" state="hidden" r:id="rId2"/>
    <sheet name="明细清单" sheetId="3" r:id="rId3"/>
  </sheets>
  <definedNames>
    <definedName name="_xlnm._FilterDatabase" localSheetId="1" hidden="1">备料清单!$A$6:$I$10</definedName>
    <definedName name="_xlnm._FilterDatabase" localSheetId="2" hidden="1">明细清单!$B$6:$K$25</definedName>
    <definedName name="_xlnm._FilterDatabase" localSheetId="0" hidden="1">清单封面!$A$46:$I$52</definedName>
    <definedName name="_xlnm.Criteria" localSheetId="2">明细清单!$D$6:$D$6</definedName>
    <definedName name="_xlnm.Extract" localSheetId="2">明细清单!#REF!</definedName>
    <definedName name="_xlnm.Print_Area" localSheetId="1">备料清单!$A$1:$I$7</definedName>
    <definedName name="_xlnm.Print_Area" localSheetId="2">明细清单!$A$1:$K$34</definedName>
    <definedName name="_xlnm.Print_Area" localSheetId="0">清单封面!$A$1:$J$53</definedName>
    <definedName name="_xlnm.Print_Titles" localSheetId="2">明细清单!$1:$6</definedName>
    <definedName name="_xlnm.Print_Titles" localSheetId="0">清单封面!$1:$12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<sst xmlns="http://schemas.openxmlformats.org/spreadsheetml/2006/main" count="165" uniqueCount="111">
  <si>
    <t>CSP卓越维保有限公司</t>
  </si>
  <si>
    <t>表内红色字体处为封面需输入内容，其他各清单对应与封面自动连接，连接如下表：</t>
  </si>
  <si>
    <t>楼承板清单</t>
  </si>
  <si>
    <t>(含其配件)</t>
  </si>
  <si>
    <t>版本号：</t>
  </si>
  <si>
    <t>自动连接：</t>
  </si>
  <si>
    <t>版本号、</t>
  </si>
  <si>
    <t>工程名称、</t>
  </si>
  <si>
    <t>工程编号</t>
  </si>
  <si>
    <t>是否有</t>
  </si>
  <si>
    <t>手动输入：</t>
  </si>
  <si>
    <t>立项号、</t>
  </si>
  <si>
    <t>结构形式、</t>
  </si>
  <si>
    <t>油漆分类做法、</t>
  </si>
  <si>
    <t>日期</t>
  </si>
  <si>
    <t>工程名称：</t>
  </si>
  <si>
    <t>立项号：</t>
  </si>
  <si>
    <t>****</t>
  </si>
  <si>
    <t>工程编号：</t>
  </si>
  <si>
    <t>结构形式：</t>
  </si>
  <si>
    <t>结构形式常见有：</t>
  </si>
  <si>
    <t>门式刚架</t>
  </si>
  <si>
    <t>框架结构</t>
  </si>
  <si>
    <t>桁架结构</t>
  </si>
  <si>
    <t>钢混结构</t>
  </si>
  <si>
    <t>设备支架</t>
  </si>
  <si>
    <t>零星结构</t>
  </si>
  <si>
    <t>（待续）</t>
  </si>
  <si>
    <t>清单组成：</t>
  </si>
  <si>
    <t>序号</t>
  </si>
  <si>
    <t>分类</t>
  </si>
  <si>
    <t>规格</t>
  </si>
  <si>
    <t>数量</t>
  </si>
  <si>
    <t>单位</t>
  </si>
  <si>
    <r>
      <rPr>
        <b/>
        <sz val="16"/>
        <color rgb="FFC00000"/>
        <rFont val="宋体"/>
        <charset val="134"/>
        <scheme val="major"/>
      </rPr>
      <t>约</t>
    </r>
    <r>
      <rPr>
        <b/>
        <sz val="16"/>
        <rFont val="宋体"/>
        <charset val="134"/>
        <scheme val="major"/>
      </rPr>
      <t>总重（kg）</t>
    </r>
  </si>
  <si>
    <t>mm</t>
  </si>
  <si>
    <r>
      <rPr>
        <sz val="16"/>
        <color theme="1"/>
        <rFont val="宋体"/>
        <charset val="134"/>
      </rPr>
      <t>颗</t>
    </r>
  </si>
  <si>
    <r>
      <rPr>
        <sz val="16"/>
        <color theme="1"/>
        <rFont val="宋体"/>
        <charset val="134"/>
      </rPr>
      <t>总计：</t>
    </r>
  </si>
  <si>
    <t>制  图  人：</t>
  </si>
  <si>
    <t>校  对  人：</t>
  </si>
  <si>
    <t>清单编制人：</t>
  </si>
  <si>
    <t>审  核  人：</t>
  </si>
  <si>
    <t>时      间：</t>
  </si>
  <si>
    <t>钢结构技术科</t>
  </si>
  <si>
    <t>模版版次：GJGJSK-2026.1.23版</t>
  </si>
  <si>
    <r>
      <rPr>
        <b/>
        <sz val="18"/>
        <rFont val="Swis721 Cn BT"/>
        <charset val="134"/>
      </rPr>
      <t xml:space="preserve">         </t>
    </r>
    <r>
      <rPr>
        <b/>
        <sz val="18"/>
        <rFont val="华文中宋"/>
        <charset val="134"/>
      </rPr>
      <t>备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料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清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单</t>
    </r>
    <r>
      <rPr>
        <b/>
        <sz val="18"/>
        <rFont val="Swis721 Cn BT"/>
        <charset val="134"/>
      </rPr>
      <t xml:space="preserve">  </t>
    </r>
  </si>
  <si>
    <t>材料名称</t>
  </si>
  <si>
    <t>材料规格</t>
  </si>
  <si>
    <t>材质</t>
  </si>
  <si>
    <t>库存</t>
  </si>
  <si>
    <t>供货厂家</t>
  </si>
  <si>
    <t>金额合计</t>
  </si>
  <si>
    <r>
      <rPr>
        <b/>
        <sz val="10"/>
        <rFont val="Swis721 Cn BT"/>
        <charset val="134"/>
      </rPr>
      <t>备注</t>
    </r>
    <r>
      <rPr>
        <b/>
        <sz val="10"/>
        <rFont val="Swis721 Cn BT"/>
        <charset val="134"/>
      </rPr>
      <t>/</t>
    </r>
    <r>
      <rPr>
        <b/>
        <sz val="10"/>
        <rFont val="宋体"/>
        <charset val="134"/>
      </rPr>
      <t>长度（</t>
    </r>
    <r>
      <rPr>
        <b/>
        <sz val="10"/>
        <rFont val="Swis721 Cn BT"/>
        <charset val="134"/>
      </rPr>
      <t>M</t>
    </r>
    <r>
      <rPr>
        <b/>
        <sz val="10"/>
        <rFont val="宋体"/>
        <charset val="134"/>
      </rPr>
      <t>）</t>
    </r>
  </si>
  <si>
    <t>栓钉</t>
  </si>
  <si>
    <t>D19X110</t>
  </si>
  <si>
    <t>颗</t>
  </si>
  <si>
    <t>配磁环</t>
  </si>
  <si>
    <t>楼承板投影面积统计（㎡）</t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</si>
  <si>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1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</si>
  <si>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2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</si>
  <si>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3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</si>
  <si>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4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</si>
  <si>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5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</si>
  <si>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6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</si>
  <si>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7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</si>
  <si>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8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</si>
  <si>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9</t>
    </r>
  </si>
  <si>
    <r>
      <rPr>
        <sz val="14"/>
        <rFont val="宋体"/>
        <charset val="134"/>
      </rPr>
      <t>区域</t>
    </r>
    <r>
      <rPr>
        <sz val="14"/>
        <rFont val="Arial"/>
        <charset val="134"/>
      </rPr>
      <t>10</t>
    </r>
  </si>
  <si>
    <t>（详见加工图）</t>
  </si>
  <si>
    <r>
      <rPr>
        <b/>
        <sz val="16"/>
        <color theme="1"/>
        <rFont val="宋体"/>
        <charset val="134"/>
      </rPr>
      <t>楼承板投影面积：</t>
    </r>
  </si>
  <si>
    <r>
      <rPr>
        <b/>
        <sz val="16"/>
        <color theme="1"/>
        <rFont val="宋体"/>
        <charset val="134"/>
      </rPr>
      <t>㎡</t>
    </r>
  </si>
  <si>
    <t>ELT-040</t>
  </si>
  <si>
    <r>
      <rPr>
        <b/>
        <sz val="16"/>
        <color theme="1"/>
        <rFont val="宋体"/>
        <charset val="134"/>
      </rPr>
      <t>板型</t>
    </r>
    <r>
      <rPr>
        <b/>
        <sz val="16"/>
        <color theme="1"/>
        <rFont val="Arial"/>
        <charset val="134"/>
      </rPr>
      <t>/</t>
    </r>
    <r>
      <rPr>
        <b/>
        <sz val="16"/>
        <color theme="1"/>
        <rFont val="宋体"/>
        <charset val="134"/>
      </rPr>
      <t>规格</t>
    </r>
  </si>
  <si>
    <r>
      <rPr>
        <b/>
        <sz val="16"/>
        <color theme="1"/>
        <rFont val="宋体"/>
        <charset val="134"/>
      </rPr>
      <t>厚度</t>
    </r>
    <r>
      <rPr>
        <b/>
        <sz val="16"/>
        <color theme="1"/>
        <rFont val="Arial"/>
        <charset val="134"/>
      </rPr>
      <t>mm</t>
    </r>
  </si>
  <si>
    <t>构件编号</t>
  </si>
  <si>
    <r>
      <rPr>
        <b/>
        <sz val="16"/>
        <color theme="1"/>
        <rFont val="宋体"/>
        <charset val="134"/>
      </rPr>
      <t>单件长度</t>
    </r>
    <r>
      <rPr>
        <b/>
        <sz val="16"/>
        <color theme="1"/>
        <rFont val="Arial"/>
        <charset val="134"/>
      </rPr>
      <t>mm</t>
    </r>
  </si>
  <si>
    <t>件数</t>
  </si>
  <si>
    <r>
      <rPr>
        <b/>
        <sz val="16"/>
        <color theme="1"/>
        <rFont val="宋体"/>
        <charset val="134"/>
      </rPr>
      <t>总长</t>
    </r>
    <r>
      <rPr>
        <b/>
        <sz val="16"/>
        <color theme="1"/>
        <rFont val="Arial"/>
        <charset val="134"/>
      </rPr>
      <t>mm</t>
    </r>
  </si>
  <si>
    <r>
      <rPr>
        <b/>
        <sz val="16"/>
        <color rgb="FFFF0000"/>
        <rFont val="宋体"/>
        <charset val="134"/>
      </rPr>
      <t>约</t>
    </r>
    <r>
      <rPr>
        <b/>
        <sz val="16"/>
        <color theme="1"/>
        <rFont val="宋体"/>
        <charset val="134"/>
      </rPr>
      <t>单件重</t>
    </r>
    <r>
      <rPr>
        <b/>
        <sz val="16"/>
        <color theme="1"/>
        <rFont val="Arial"/>
        <charset val="134"/>
      </rPr>
      <t>Kg</t>
    </r>
  </si>
  <si>
    <r>
      <rPr>
        <b/>
        <sz val="16"/>
        <color rgb="FFFF0000"/>
        <rFont val="宋体"/>
        <charset val="134"/>
      </rPr>
      <t>约</t>
    </r>
    <r>
      <rPr>
        <b/>
        <sz val="16"/>
        <color theme="1"/>
        <rFont val="宋体"/>
        <charset val="134"/>
      </rPr>
      <t>总重</t>
    </r>
    <r>
      <rPr>
        <b/>
        <sz val="16"/>
        <color theme="1"/>
        <rFont val="Arial"/>
        <charset val="134"/>
      </rPr>
      <t>kg</t>
    </r>
  </si>
  <si>
    <t>备注</t>
  </si>
  <si>
    <t>一、楼承板</t>
  </si>
  <si>
    <t>展开宽度</t>
  </si>
  <si>
    <t>YX60-311-933</t>
  </si>
  <si>
    <r>
      <rPr>
        <sz val="16"/>
        <rFont val="Arial"/>
        <charset val="134"/>
      </rPr>
      <t xml:space="preserve">Q235B </t>
    </r>
    <r>
      <rPr>
        <sz val="16"/>
        <rFont val="宋体"/>
        <charset val="134"/>
      </rPr>
      <t>镀锌板</t>
    </r>
  </si>
  <si>
    <t>LCB-1</t>
  </si>
  <si>
    <t>LCB-2</t>
  </si>
  <si>
    <t>LCB-3</t>
  </si>
  <si>
    <t>LCB-4</t>
  </si>
  <si>
    <t>LCB-5</t>
  </si>
  <si>
    <t>LCB-6</t>
  </si>
  <si>
    <t>小计：</t>
  </si>
  <si>
    <t>此行严禁删除！</t>
  </si>
  <si>
    <t>二、边模(封边模板)</t>
  </si>
  <si>
    <r>
      <rPr>
        <sz val="14"/>
        <rFont val="宋体"/>
        <charset val="134"/>
      </rPr>
      <t>边长</t>
    </r>
    <r>
      <rPr>
        <sz val="14"/>
        <rFont val="Arial"/>
        <charset val="134"/>
      </rPr>
      <t>1</t>
    </r>
  </si>
  <si>
    <r>
      <rPr>
        <sz val="14"/>
        <rFont val="宋体"/>
        <charset val="134"/>
      </rPr>
      <t>边长</t>
    </r>
    <r>
      <rPr>
        <sz val="14"/>
        <rFont val="Arial"/>
        <charset val="134"/>
      </rPr>
      <t>2</t>
    </r>
  </si>
  <si>
    <r>
      <rPr>
        <sz val="16"/>
        <color rgb="FFFF0000"/>
        <rFont val="Arial"/>
        <charset val="134"/>
      </rPr>
      <t>L</t>
    </r>
    <r>
      <rPr>
        <sz val="16"/>
        <color rgb="FFFF0000"/>
        <rFont val="宋体"/>
        <charset val="134"/>
      </rPr>
      <t>型</t>
    </r>
    <r>
      <rPr>
        <sz val="16"/>
        <color rgb="FFFF0000"/>
        <rFont val="Arial"/>
        <charset val="134"/>
      </rPr>
      <t>:L120-100</t>
    </r>
  </si>
  <si>
    <r>
      <rPr>
        <sz val="16"/>
        <color theme="1"/>
        <rFont val="Arial"/>
        <charset val="134"/>
      </rPr>
      <t>304</t>
    </r>
    <r>
      <rPr>
        <sz val="16"/>
        <color theme="1"/>
        <rFont val="宋体"/>
        <charset val="134"/>
      </rPr>
      <t>不锈钢</t>
    </r>
  </si>
  <si>
    <t>BM-1</t>
  </si>
  <si>
    <r>
      <rPr>
        <sz val="16"/>
        <color rgb="FFFF0000"/>
        <rFont val="Arial"/>
        <charset val="134"/>
      </rPr>
      <t>L</t>
    </r>
    <r>
      <rPr>
        <sz val="16"/>
        <color rgb="FFFF0000"/>
        <rFont val="宋体"/>
        <charset val="134"/>
      </rPr>
      <t>型</t>
    </r>
    <r>
      <rPr>
        <sz val="16"/>
        <color rgb="FFFF0000"/>
        <rFont val="Arial"/>
        <charset val="134"/>
      </rPr>
      <t>:L120-50</t>
    </r>
  </si>
  <si>
    <t>BM-2</t>
  </si>
  <si>
    <r>
      <rPr>
        <sz val="16"/>
        <color rgb="FFFF0000"/>
        <rFont val="Arial"/>
        <charset val="134"/>
      </rPr>
      <t>L</t>
    </r>
    <r>
      <rPr>
        <sz val="16"/>
        <color rgb="FFFF0000"/>
        <rFont val="宋体"/>
        <charset val="134"/>
      </rPr>
      <t>型</t>
    </r>
    <r>
      <rPr>
        <sz val="16"/>
        <color rgb="FFFF0000"/>
        <rFont val="Arial"/>
        <charset val="134"/>
      </rPr>
      <t>:L50-50</t>
    </r>
  </si>
  <si>
    <t>BM-3</t>
  </si>
  <si>
    <t>栓钉件数统计（套）</t>
  </si>
  <si>
    <t>三、栓钉</t>
  </si>
  <si>
    <t>Φ16x100</t>
  </si>
  <si>
    <t>-----</t>
  </si>
  <si>
    <t>Φ19x100</t>
  </si>
  <si>
    <t>Φ20x100</t>
  </si>
  <si>
    <t>合计：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</si>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</sst>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  <numFmt numFmtId="179" formatCode="0_ "/>
    <numFmt numFmtId="180" formatCode="0.0_ "/>
    <numFmt numFmtId="181" formatCode="General:yyyy&quot;年&quot;m&quot;月&quot;d&quot;日&quot;"/>
  </numFmts>
  <fonts count="92">
    <font>
      <sz val="12"/>
      <name val="Swis721 Cn BT"/>
      <charset val="134"/>
    </font>
    <font>
      <sz val="14"/>
      <name val="宋体"/>
      <charset val="134"/>
      <scheme val="major"/>
    </font>
    <font>
      <sz val="18"/>
      <name val="宋体"/>
      <charset val="134"/>
      <scheme val="major"/>
    </font>
    <font>
      <b/>
      <sz val="16"/>
      <name val="宋体"/>
      <charset val="134"/>
      <scheme val="major"/>
    </font>
    <font>
      <sz val="10"/>
      <color theme="1"/>
      <name val="Swis721 Cn BT"/>
      <charset val="134"/>
    </font>
    <font>
      <b/>
      <sz val="12"/>
      <color rgb="FFFF0000"/>
      <name val="宋体"/>
      <charset val="134"/>
      <scheme val="major"/>
    </font>
    <font>
      <sz val="12"/>
      <name val="宋体"/>
      <charset val="134"/>
      <scheme val="major"/>
    </font>
    <font>
      <sz val="10"/>
      <name val="宋体"/>
      <charset val="134"/>
      <scheme val="major"/>
    </font>
    <font>
      <sz val="10"/>
      <name val="Swis721 Cn BT"/>
      <charset val="134"/>
    </font>
    <font>
      <b/>
      <sz val="18"/>
      <name val="宋体"/>
      <charset val="134"/>
      <scheme val="major"/>
    </font>
    <font>
      <b/>
      <sz val="18"/>
      <name val="Swis721 Cn BT"/>
      <charset val="134"/>
    </font>
    <font>
      <b/>
      <sz val="26"/>
      <name val="宋体"/>
      <charset val="134"/>
      <scheme val="major"/>
    </font>
    <font>
      <b/>
      <sz val="20"/>
      <color theme="1"/>
      <name val="宋体"/>
      <charset val="134"/>
      <scheme val="major"/>
    </font>
    <font>
      <b/>
      <sz val="16"/>
      <color theme="5"/>
      <name val="宋体"/>
      <charset val="134"/>
      <scheme val="major"/>
    </font>
    <font>
      <sz val="18"/>
      <name val="宋体"/>
      <charset val="134"/>
    </font>
    <font>
      <sz val="18"/>
      <name val="Arial"/>
      <charset val="134"/>
    </font>
    <font>
      <sz val="14"/>
      <name val="Arial"/>
      <charset val="134"/>
    </font>
    <font>
      <b/>
      <sz val="14"/>
      <name val="宋体"/>
      <charset val="134"/>
      <scheme val="major"/>
    </font>
    <font>
      <sz val="14"/>
      <name val="宋体"/>
      <charset val="134"/>
    </font>
    <font>
      <b/>
      <sz val="18"/>
      <color theme="5"/>
      <name val="宋体"/>
      <charset val="134"/>
      <scheme val="major"/>
    </font>
    <font>
      <b/>
      <sz val="16"/>
      <color theme="1"/>
      <name val="Arial"/>
      <charset val="134"/>
    </font>
    <font>
      <b/>
      <sz val="16"/>
      <color rgb="FFFF0000"/>
      <name val="Arial"/>
      <charset val="134"/>
    </font>
    <font>
      <sz val="14"/>
      <color rgb="FFFF0000"/>
      <name val="Arial"/>
      <charset val="134"/>
    </font>
    <font>
      <b/>
      <sz val="16"/>
      <name val="宋体"/>
      <charset val="134"/>
    </font>
    <font>
      <b/>
      <sz val="16"/>
      <color theme="1"/>
      <name val="宋体"/>
      <charset val="134"/>
    </font>
    <font>
      <b/>
      <sz val="16"/>
      <color rgb="FFFF0000"/>
      <name val="宋体"/>
      <charset val="134"/>
    </font>
    <font>
      <sz val="14"/>
      <color theme="1"/>
      <name val="Arial"/>
      <charset val="134"/>
    </font>
    <font>
      <sz val="16"/>
      <name val="Arial"/>
      <charset val="134"/>
    </font>
    <font>
      <sz val="16"/>
      <color rgb="FFFF0000"/>
      <name val="Arial"/>
      <charset val="134"/>
    </font>
    <font>
      <b/>
      <sz val="14"/>
      <color rgb="FFFF0000"/>
      <name val="Arial"/>
      <charset val="134"/>
    </font>
    <font>
      <sz val="18"/>
      <color rgb="FFFF0000"/>
      <name val="宋体"/>
      <charset val="134"/>
    </font>
    <font>
      <sz val="16"/>
      <color theme="1"/>
      <name val="Arial"/>
      <charset val="134"/>
    </font>
    <font>
      <sz val="18"/>
      <color theme="1"/>
      <name val="宋体"/>
      <charset val="134"/>
    </font>
    <font>
      <b/>
      <sz val="14"/>
      <color theme="1"/>
      <name val="Arial"/>
      <charset val="134"/>
    </font>
    <font>
      <b/>
      <sz val="16"/>
      <color rgb="FFFF0000"/>
      <name val="宋体"/>
      <charset val="134"/>
      <scheme val="minor"/>
    </font>
    <font>
      <sz val="18"/>
      <color rgb="FFFF0000"/>
      <name val="宋体"/>
      <charset val="134"/>
      <scheme val="major"/>
    </font>
    <font>
      <sz val="16"/>
      <name val="宋体"/>
      <charset val="134"/>
      <scheme val="major"/>
    </font>
    <font>
      <sz val="16"/>
      <name val="Swis721 Cn BT"/>
      <charset val="134"/>
    </font>
    <font>
      <sz val="11"/>
      <name val="Swis721 Cn BT"/>
      <charset val="134"/>
    </font>
    <font>
      <b/>
      <sz val="11"/>
      <name val="Swis721 Cn BT"/>
      <charset val="134"/>
    </font>
    <font>
      <b/>
      <sz val="10"/>
      <name val="Swis721 Cn BT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sz val="18"/>
      <name val="宋体"/>
      <charset val="134"/>
      <scheme val="minor"/>
    </font>
    <font>
      <sz val="12"/>
      <color theme="1"/>
      <name val="Swis721 Cn BT"/>
      <charset val="134"/>
    </font>
    <font>
      <sz val="16"/>
      <name val="宋体"/>
      <charset val="134"/>
      <scheme val="minor"/>
    </font>
    <font>
      <b/>
      <sz val="20"/>
      <color rgb="FFFF0000"/>
      <name val="宋体"/>
      <charset val="134"/>
      <scheme val="major"/>
    </font>
    <font>
      <b/>
      <sz val="26"/>
      <name val="宋体"/>
      <charset val="134"/>
    </font>
    <font>
      <b/>
      <sz val="16"/>
      <color rgb="FFFF0000"/>
      <name val="宋体"/>
      <charset val="134"/>
      <scheme val="major"/>
    </font>
    <font>
      <b/>
      <sz val="18"/>
      <color rgb="FFFF0000"/>
      <name val="宋体"/>
      <charset val="134"/>
      <scheme val="major"/>
    </font>
    <font>
      <sz val="18"/>
      <color theme="1"/>
      <name val="宋体"/>
      <charset val="134"/>
      <scheme val="major"/>
    </font>
    <font>
      <sz val="18"/>
      <color indexed="8"/>
      <name val="宋体"/>
      <charset val="134"/>
      <scheme val="major"/>
    </font>
    <font>
      <b/>
      <sz val="18"/>
      <color theme="1"/>
      <name val="宋体"/>
      <charset val="134"/>
      <scheme val="major"/>
    </font>
    <font>
      <sz val="18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b/>
      <sz val="16"/>
      <color rgb="FFC00000"/>
      <name val="宋体"/>
      <charset val="134"/>
      <scheme val="major"/>
    </font>
    <font>
      <b/>
      <sz val="22"/>
      <color theme="5"/>
      <name val="宋体"/>
      <charset val="134"/>
      <scheme val="major"/>
    </font>
    <font>
      <sz val="12"/>
      <color rgb="FFFF0000"/>
      <name val="宋体"/>
      <charset val="134"/>
      <scheme val="major"/>
    </font>
    <font>
      <sz val="16"/>
      <color theme="1"/>
      <name val="宋体"/>
      <charset val="134"/>
      <scheme val="maj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b/>
      <sz val="16"/>
      <color theme="1"/>
      <name val="宋体"/>
      <charset val="134"/>
      <scheme val="major"/>
    </font>
    <font>
      <b/>
      <sz val="16"/>
      <color theme="5"/>
      <name val="宋体"/>
      <charset val="134"/>
      <scheme val="minor"/>
    </font>
    <font>
      <b/>
      <sz val="14"/>
      <color rgb="FFFF0000"/>
      <name val="宋体"/>
      <charset val="134"/>
      <scheme val="major"/>
    </font>
    <font>
      <b/>
      <sz val="14"/>
      <color theme="1"/>
      <name val="宋体"/>
      <charset val="134"/>
      <scheme val="major"/>
    </font>
    <font>
      <b/>
      <sz val="24"/>
      <color theme="5"/>
      <name val="宋体"/>
      <charset val="134"/>
      <scheme val="minor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宋体"/>
      <charset val="134"/>
    </font>
    <font>
      <sz val="16"/>
      <color theme="1"/>
      <name val="宋体"/>
      <charset val="134"/>
    </font>
    <font>
      <b/>
      <sz val="18"/>
      <name val="华文中宋"/>
      <charset val="134"/>
    </font>
    <font>
      <b/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8">
    <xf numFmtId="0" fontId="0" fillId="0" borderId="0">
      <alignment vertical="center"/>
    </xf>
    <xf numFmtId="43" fontId="68" fillId="0" borderId="0" applyFont="0" applyFill="0" applyBorder="0" applyAlignment="0" applyProtection="0">
      <alignment vertical="center"/>
    </xf>
    <xf numFmtId="44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8" fillId="5" borderId="4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6" borderId="7" applyNumberFormat="0" applyAlignment="0" applyProtection="0">
      <alignment vertical="center"/>
    </xf>
    <xf numFmtId="0" fontId="78" fillId="7" borderId="8" applyNumberFormat="0" applyAlignment="0" applyProtection="0">
      <alignment vertical="center"/>
    </xf>
    <xf numFmtId="0" fontId="79" fillId="7" borderId="7" applyNumberFormat="0" applyAlignment="0" applyProtection="0">
      <alignment vertical="center"/>
    </xf>
    <xf numFmtId="0" fontId="80" fillId="8" borderId="9" applyNumberFormat="0" applyAlignment="0" applyProtection="0">
      <alignment vertical="center"/>
    </xf>
    <xf numFmtId="0" fontId="81" fillId="0" borderId="10" applyNumberFormat="0" applyFill="0" applyAlignment="0" applyProtection="0">
      <alignment vertical="center"/>
    </xf>
    <xf numFmtId="0" fontId="82" fillId="0" borderId="11" applyNumberFormat="0" applyFill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5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3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</cellStyleXfs>
  <cellXfs count="210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right" vertical="center"/>
    </xf>
    <xf numFmtId="178" fontId="7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6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177" fontId="12" fillId="0" borderId="0" xfId="0" applyNumberFormat="1" applyFont="1" applyFill="1" applyAlignment="1">
      <alignment horizontal="left" vertical="center"/>
    </xf>
    <xf numFmtId="177" fontId="13" fillId="0" borderId="0" xfId="0" applyNumberFormat="1" applyFont="1" applyFill="1" applyBorder="1" applyAlignment="1">
      <alignment horizontal="right" vertical="center"/>
    </xf>
    <xf numFmtId="177" fontId="13" fillId="0" borderId="0" xfId="0" applyNumberFormat="1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Fill="1" applyBorder="1">
      <alignment vertical="center"/>
    </xf>
    <xf numFmtId="0" fontId="19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right" vertical="center"/>
    </xf>
    <xf numFmtId="0" fontId="21" fillId="0" borderId="0" xfId="0" applyFont="1" applyFill="1" applyAlignment="1">
      <alignment horizontal="left" vertical="center"/>
    </xf>
    <xf numFmtId="0" fontId="20" fillId="0" borderId="0" xfId="0" applyFont="1" applyFill="1" applyAlignment="1">
      <alignment vertical="center"/>
    </xf>
    <xf numFmtId="177" fontId="22" fillId="0" borderId="1" xfId="0" applyNumberFormat="1" applyFont="1" applyBorder="1">
      <alignment vertical="center"/>
    </xf>
    <xf numFmtId="177" fontId="22" fillId="0" borderId="1" xfId="0" applyNumberFormat="1" applyFont="1" applyFill="1" applyBorder="1">
      <alignment vertical="center"/>
    </xf>
    <xf numFmtId="179" fontId="19" fillId="0" borderId="0" xfId="0" applyNumberFormat="1" applyFont="1" applyFill="1" applyAlignment="1">
      <alignment horizontal="left" vertical="center"/>
    </xf>
    <xf numFmtId="0" fontId="23" fillId="0" borderId="0" xfId="0" applyFont="1" applyFill="1" applyAlignment="1">
      <alignment horizontal="right"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177" fontId="24" fillId="3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4" borderId="1" xfId="0" applyNumberFormat="1" applyFont="1" applyFill="1" applyBorder="1" applyAlignment="1">
      <alignment horizontal="left" vertical="center"/>
    </xf>
    <xf numFmtId="0" fontId="20" fillId="4" borderId="1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16" fillId="0" borderId="0" xfId="0" applyFont="1" applyFill="1">
      <alignment vertical="center"/>
    </xf>
    <xf numFmtId="0" fontId="27" fillId="0" borderId="1" xfId="0" applyNumberFormat="1" applyFont="1" applyFill="1" applyBorder="1" applyAlignment="1">
      <alignment horizontal="left" vertical="center"/>
    </xf>
    <xf numFmtId="180" fontId="28" fillId="0" borderId="1" xfId="0" applyNumberFormat="1" applyFont="1" applyFill="1" applyBorder="1" applyAlignment="1" applyProtection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 applyProtection="1">
      <alignment horizontal="center" vertical="center"/>
    </xf>
    <xf numFmtId="0" fontId="27" fillId="0" borderId="1" xfId="0" applyNumberFormat="1" applyFont="1" applyFill="1" applyBorder="1" applyAlignment="1" applyProtection="1">
      <alignment vertical="center"/>
    </xf>
    <xf numFmtId="177" fontId="27" fillId="0" borderId="1" xfId="0" applyNumberFormat="1" applyFont="1" applyFill="1" applyBorder="1" applyAlignment="1" applyProtection="1">
      <alignment horizontal="right" vertical="center"/>
    </xf>
    <xf numFmtId="177" fontId="27" fillId="0" borderId="1" xfId="0" applyNumberFormat="1" applyFont="1" applyFill="1" applyBorder="1" applyAlignment="1" applyProtection="1">
      <alignment vertical="center"/>
    </xf>
    <xf numFmtId="0" fontId="26" fillId="0" borderId="2" xfId="0" applyFont="1" applyFill="1" applyBorder="1">
      <alignment vertical="center"/>
    </xf>
    <xf numFmtId="0" fontId="29" fillId="0" borderId="0" xfId="0" applyFont="1" applyFill="1" applyBorder="1">
      <alignment vertical="center"/>
    </xf>
    <xf numFmtId="176" fontId="24" fillId="0" borderId="1" xfId="0" applyNumberFormat="1" applyFont="1" applyFill="1" applyBorder="1" applyAlignment="1">
      <alignment horizontal="right" vertical="center"/>
    </xf>
    <xf numFmtId="176" fontId="20" fillId="0" borderId="1" xfId="0" applyNumberFormat="1" applyFont="1" applyFill="1" applyBorder="1" applyAlignment="1">
      <alignment horizontal="right" vertical="center"/>
    </xf>
    <xf numFmtId="179" fontId="20" fillId="0" borderId="1" xfId="0" applyNumberFormat="1" applyFont="1" applyFill="1" applyBorder="1" applyAlignment="1">
      <alignment horizontal="center" vertical="center"/>
    </xf>
    <xf numFmtId="179" fontId="20" fillId="0" borderId="1" xfId="0" applyNumberFormat="1" applyFont="1" applyFill="1" applyBorder="1" applyAlignment="1">
      <alignment vertical="center"/>
    </xf>
    <xf numFmtId="177" fontId="20" fillId="0" borderId="1" xfId="0" applyNumberFormat="1" applyFont="1" applyFill="1" applyBorder="1" applyAlignment="1">
      <alignment vertical="center"/>
    </xf>
    <xf numFmtId="0" fontId="30" fillId="0" borderId="2" xfId="0" applyFont="1" applyFill="1" applyBorder="1">
      <alignment vertical="center"/>
    </xf>
    <xf numFmtId="0" fontId="26" fillId="0" borderId="0" xfId="0" applyFont="1" applyFill="1">
      <alignment vertical="center"/>
    </xf>
    <xf numFmtId="0" fontId="26" fillId="0" borderId="0" xfId="0" applyFont="1" applyFill="1" applyBorder="1">
      <alignment vertical="center"/>
    </xf>
    <xf numFmtId="0" fontId="18" fillId="0" borderId="1" xfId="0" applyFont="1" applyFill="1" applyBorder="1" applyAlignment="1">
      <alignment horizontal="left" vertical="center"/>
    </xf>
    <xf numFmtId="0" fontId="28" fillId="0" borderId="1" xfId="0" applyNumberFormat="1" applyFont="1" applyFill="1" applyBorder="1" applyAlignment="1">
      <alignment horizontal="left" vertical="center"/>
    </xf>
    <xf numFmtId="180" fontId="31" fillId="0" borderId="1" xfId="0" applyNumberFormat="1" applyFont="1" applyFill="1" applyBorder="1" applyAlignment="1" applyProtection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vertical="center"/>
    </xf>
    <xf numFmtId="177" fontId="31" fillId="0" borderId="1" xfId="0" applyNumberFormat="1" applyFont="1" applyFill="1" applyBorder="1" applyAlignment="1" applyProtection="1">
      <alignment horizontal="right" vertical="center"/>
    </xf>
    <xf numFmtId="177" fontId="31" fillId="0" borderId="1" xfId="0" applyNumberFormat="1" applyFont="1" applyFill="1" applyBorder="1" applyAlignment="1" applyProtection="1">
      <alignment vertical="center"/>
    </xf>
    <xf numFmtId="0" fontId="16" fillId="0" borderId="2" xfId="0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 applyAlignment="1">
      <alignment horizontal="center" vertical="center"/>
    </xf>
    <xf numFmtId="0" fontId="33" fillId="0" borderId="0" xfId="0" applyFont="1" applyFill="1" applyBorder="1">
      <alignment vertical="center"/>
    </xf>
    <xf numFmtId="0" fontId="18" fillId="0" borderId="1" xfId="0" applyFont="1" applyFill="1" applyBorder="1" applyAlignment="1">
      <alignment horizontal="center" vertical="center"/>
    </xf>
    <xf numFmtId="0" fontId="28" fillId="0" borderId="1" xfId="0" applyNumberFormat="1" applyFont="1" applyFill="1" applyBorder="1" applyAlignment="1" applyProtection="1">
      <alignment horizontal="center" vertical="center"/>
    </xf>
    <xf numFmtId="0" fontId="31" fillId="0" borderId="1" xfId="0" applyNumberFormat="1" applyFont="1" applyFill="1" applyBorder="1" applyAlignment="1" applyProtection="1">
      <alignment horizontal="right" vertical="center"/>
    </xf>
    <xf numFmtId="179" fontId="22" fillId="0" borderId="1" xfId="0" applyNumberFormat="1" applyFont="1" applyFill="1" applyBorder="1">
      <alignment vertical="center"/>
    </xf>
    <xf numFmtId="0" fontId="30" fillId="0" borderId="0" xfId="0" applyFont="1" applyFill="1" applyBorder="1">
      <alignment vertical="center"/>
    </xf>
    <xf numFmtId="179" fontId="20" fillId="0" borderId="1" xfId="0" applyNumberFormat="1" applyFont="1" applyFill="1" applyBorder="1" applyAlignment="1">
      <alignment horizontal="right" vertical="center"/>
    </xf>
    <xf numFmtId="177" fontId="20" fillId="0" borderId="1" xfId="0" applyNumberFormat="1" applyFont="1" applyFill="1" applyBorder="1" applyAlignment="1">
      <alignment horizontal="right" vertical="center"/>
    </xf>
    <xf numFmtId="0" fontId="31" fillId="0" borderId="1" xfId="0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49" fontId="34" fillId="0" borderId="0" xfId="0" applyNumberFormat="1" applyFont="1" applyFill="1" applyBorder="1" applyAlignment="1">
      <alignment horizontal="center" vertical="center"/>
    </xf>
    <xf numFmtId="176" fontId="34" fillId="0" borderId="0" xfId="0" applyNumberFormat="1" applyFont="1" applyFill="1" applyBorder="1" applyAlignment="1">
      <alignment horizontal="right" vertical="center"/>
    </xf>
    <xf numFmtId="176" fontId="21" fillId="0" borderId="0" xfId="0" applyNumberFormat="1" applyFont="1" applyFill="1" applyBorder="1" applyAlignment="1">
      <alignment horizontal="right" vertical="center"/>
    </xf>
    <xf numFmtId="179" fontId="34" fillId="0" borderId="0" xfId="0" applyNumberFormat="1" applyFont="1" applyFill="1" applyBorder="1" applyAlignment="1">
      <alignment horizontal="right" vertical="center"/>
    </xf>
    <xf numFmtId="177" fontId="34" fillId="0" borderId="0" xfId="0" applyNumberFormat="1" applyFont="1" applyFill="1" applyBorder="1" applyAlignment="1">
      <alignment horizontal="right" vertical="center"/>
    </xf>
    <xf numFmtId="176" fontId="25" fillId="0" borderId="0" xfId="0" applyNumberFormat="1" applyFont="1" applyFill="1" applyBorder="1" applyAlignment="1">
      <alignment horizontal="right" vertical="center"/>
    </xf>
    <xf numFmtId="177" fontId="21" fillId="0" borderId="0" xfId="0" applyNumberFormat="1" applyFont="1" applyFill="1" applyBorder="1" applyAlignment="1">
      <alignment horizontal="right" vertical="center"/>
    </xf>
    <xf numFmtId="177" fontId="21" fillId="0" borderId="0" xfId="0" applyNumberFormat="1" applyFont="1" applyFill="1" applyBorder="1" applyAlignment="1">
      <alignment horizontal="left" vertical="center"/>
    </xf>
    <xf numFmtId="0" fontId="35" fillId="0" borderId="0" xfId="0" applyFont="1" applyFill="1" applyBorder="1">
      <alignment vertical="center"/>
    </xf>
    <xf numFmtId="49" fontId="3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76" fontId="36" fillId="0" borderId="0" xfId="0" applyNumberFormat="1" applyFont="1" applyFill="1" applyBorder="1" applyAlignment="1">
      <alignment horizontal="right" vertical="center"/>
    </xf>
    <xf numFmtId="177" fontId="36" fillId="0" borderId="0" xfId="0" applyNumberFormat="1" applyFont="1" applyFill="1" applyBorder="1" applyAlignment="1">
      <alignment horizontal="center" vertical="center"/>
    </xf>
    <xf numFmtId="177" fontId="36" fillId="0" borderId="0" xfId="0" applyNumberFormat="1" applyFont="1" applyFill="1" applyBorder="1" applyAlignment="1">
      <alignment horizontal="right" vertical="center"/>
    </xf>
    <xf numFmtId="178" fontId="36" fillId="0" borderId="0" xfId="0" applyNumberFormat="1" applyFont="1" applyFill="1" applyBorder="1" applyAlignment="1">
      <alignment horizontal="right" vertical="center"/>
    </xf>
    <xf numFmtId="0" fontId="37" fillId="0" borderId="0" xfId="0" applyFont="1" applyFill="1" applyBorder="1" applyAlignment="1">
      <alignment horizontal="right" vertical="center"/>
    </xf>
    <xf numFmtId="0" fontId="38" fillId="0" borderId="0" xfId="0" applyFont="1" applyFill="1" applyAlignment="1">
      <alignment horizontal="left" vertical="center"/>
    </xf>
    <xf numFmtId="0" fontId="38" fillId="0" borderId="0" xfId="0" applyFont="1" applyFill="1">
      <alignment vertical="center"/>
    </xf>
    <xf numFmtId="0" fontId="8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vertical="center"/>
    </xf>
    <xf numFmtId="0" fontId="40" fillId="0" borderId="1" xfId="0" applyFont="1" applyFill="1" applyBorder="1" applyAlignment="1">
      <alignment horizontal="center" vertical="center"/>
    </xf>
    <xf numFmtId="176" fontId="40" fillId="0" borderId="1" xfId="0" applyNumberFormat="1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8" fillId="3" borderId="1" xfId="0" applyNumberFormat="1" applyFont="1" applyFill="1" applyBorder="1" applyAlignment="1" applyProtection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43" fillId="0" borderId="0" xfId="0" applyFont="1" applyFill="1" applyBorder="1" applyAlignment="1">
      <alignment horizontal="center"/>
    </xf>
    <xf numFmtId="0" fontId="44" fillId="0" borderId="0" xfId="0" applyFont="1" applyFill="1" applyBorder="1" applyAlignment="1">
      <alignment horizontal="center"/>
    </xf>
    <xf numFmtId="0" fontId="45" fillId="0" borderId="0" xfId="0" applyFont="1" applyFill="1">
      <alignment vertical="center"/>
    </xf>
    <xf numFmtId="0" fontId="46" fillId="0" borderId="0" xfId="0" applyFont="1" applyFill="1" applyBorder="1" applyAlignment="1">
      <alignment horizontal="center"/>
    </xf>
    <xf numFmtId="0" fontId="46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47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48" fillId="0" borderId="0" xfId="0" applyFont="1" applyFill="1" applyAlignment="1">
      <alignment horizontal="right" vertical="center"/>
    </xf>
    <xf numFmtId="0" fontId="48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49" fillId="0" borderId="0" xfId="0" applyFont="1" applyFill="1" applyAlignment="1">
      <alignment vertical="center"/>
    </xf>
    <xf numFmtId="0" fontId="50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44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43" fillId="0" borderId="0" xfId="0" applyFont="1" applyFill="1">
      <alignment vertical="center"/>
    </xf>
    <xf numFmtId="0" fontId="13" fillId="0" borderId="0" xfId="0" applyFont="1" applyFill="1" applyAlignment="1">
      <alignment horizontal="center" vertical="center" wrapText="1"/>
    </xf>
    <xf numFmtId="0" fontId="49" fillId="0" borderId="0" xfId="0" applyFont="1" applyFill="1" applyAlignment="1">
      <alignment vertical="center" wrapText="1"/>
    </xf>
    <xf numFmtId="0" fontId="5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5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9" fillId="0" borderId="0" xfId="0" applyFont="1" applyFill="1" applyAlignment="1">
      <alignment horizontal="left" vertical="center" wrapText="1"/>
    </xf>
    <xf numFmtId="0" fontId="53" fillId="0" borderId="0" xfId="0" applyFont="1" applyFill="1" applyAlignment="1">
      <alignment horizontal="right" vertical="center"/>
    </xf>
    <xf numFmtId="0" fontId="50" fillId="0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4" fillId="0" borderId="0" xfId="0" applyFont="1" applyFill="1" applyBorder="1" applyAlignment="1">
      <alignment horizontal="left"/>
    </xf>
    <xf numFmtId="0" fontId="9" fillId="0" borderId="0" xfId="0" applyFont="1" applyBorder="1" applyAlignment="1">
      <alignment vertical="center"/>
    </xf>
    <xf numFmtId="0" fontId="54" fillId="0" borderId="1" xfId="0" applyFont="1" applyFill="1" applyBorder="1" applyAlignment="1">
      <alignment horizontal="center" vertical="center"/>
    </xf>
    <xf numFmtId="0" fontId="53" fillId="0" borderId="0" xfId="0" applyFont="1" applyBorder="1" applyAlignment="1">
      <alignment horizontal="left" vertical="center"/>
    </xf>
    <xf numFmtId="0" fontId="55" fillId="0" borderId="1" xfId="0" applyFont="1" applyFill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177" fontId="27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177" fontId="27" fillId="0" borderId="1" xfId="0" applyNumberFormat="1" applyFont="1" applyBorder="1" applyAlignment="1">
      <alignment horizontal="right" vertical="center"/>
    </xf>
    <xf numFmtId="0" fontId="57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58" fillId="0" borderId="0" xfId="0" applyFont="1">
      <alignment vertical="center"/>
    </xf>
    <xf numFmtId="0" fontId="31" fillId="0" borderId="1" xfId="0" applyFont="1" applyBorder="1" applyAlignment="1">
      <alignment horizontal="center" vertical="center"/>
    </xf>
    <xf numFmtId="0" fontId="59" fillId="0" borderId="0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Border="1" applyAlignment="1">
      <alignment horizontal="right" vertical="center"/>
    </xf>
    <xf numFmtId="0" fontId="60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/>
    </xf>
    <xf numFmtId="0" fontId="61" fillId="0" borderId="0" xfId="0" applyFont="1">
      <alignment vertical="center"/>
    </xf>
    <xf numFmtId="0" fontId="61" fillId="0" borderId="0" xfId="0" applyFont="1" applyFill="1">
      <alignment vertical="center"/>
    </xf>
    <xf numFmtId="0" fontId="36" fillId="0" borderId="0" xfId="0" applyFont="1" applyBorder="1" applyAlignment="1">
      <alignment horizontal="center" vertical="center"/>
    </xf>
    <xf numFmtId="0" fontId="49" fillId="0" borderId="0" xfId="0" applyFont="1" applyAlignment="1">
      <alignment horizontal="right" vertical="center"/>
    </xf>
    <xf numFmtId="177" fontId="36" fillId="0" borderId="0" xfId="0" applyNumberFormat="1" applyFont="1" applyBorder="1" applyAlignment="1">
      <alignment horizontal="right" vertical="center"/>
    </xf>
    <xf numFmtId="0" fontId="62" fillId="0" borderId="0" xfId="0" applyFont="1" applyBorder="1" applyAlignment="1">
      <alignment horizontal="left" vertical="center"/>
    </xf>
    <xf numFmtId="0" fontId="63" fillId="0" borderId="0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64" fillId="0" borderId="0" xfId="0" applyFont="1" applyAlignment="1">
      <alignment horizontal="right" vertical="center"/>
    </xf>
    <xf numFmtId="177" fontId="1" fillId="0" borderId="0" xfId="0" applyNumberFormat="1" applyFont="1" applyBorder="1" applyAlignment="1">
      <alignment horizontal="right" vertical="center"/>
    </xf>
    <xf numFmtId="0" fontId="65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62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81" fontId="36" fillId="0" borderId="0" xfId="0" applyNumberFormat="1" applyFont="1" applyBorder="1" applyAlignment="1">
      <alignment vertical="center"/>
    </xf>
    <xf numFmtId="181" fontId="3" fillId="0" borderId="0" xfId="0" applyNumberFormat="1" applyFont="1" applyBorder="1" applyAlignment="1">
      <alignment vertical="center"/>
    </xf>
    <xf numFmtId="31" fontId="49" fillId="0" borderId="0" xfId="0" applyNumberFormat="1" applyFont="1" applyBorder="1" applyAlignment="1">
      <alignment horizontal="left" vertical="center"/>
    </xf>
    <xf numFmtId="31" fontId="36" fillId="0" borderId="0" xfId="0" applyNumberFormat="1" applyFont="1" applyBorder="1" applyAlignment="1">
      <alignment horizontal="left" vertical="center"/>
    </xf>
    <xf numFmtId="0" fontId="36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67" fillId="0" borderId="0" xfId="0" applyFont="1" applyBorder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0" fontId="31" fillId="0" borderId="1" xfId="0" applyNumberFormat="1" applyFont="1" applyFill="1" applyBorder="1" applyAlignment="1" applyProtection="1" quotePrefix="1">
      <alignment horizontal="center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" xfId="61"/>
    <cellStyle name="常规 2 2 2 2" xfId="62"/>
    <cellStyle name="常规 2 2 2 2 2" xfId="63"/>
    <cellStyle name="常规 2 2 2 2 2 2" xfId="64"/>
    <cellStyle name="常规 2 2 2 2 2 2 2" xfId="65"/>
    <cellStyle name="常规 20" xfId="66"/>
    <cellStyle name="常规 21" xfId="67"/>
    <cellStyle name="常规 22" xfId="68"/>
    <cellStyle name="常规 23" xfId="69"/>
    <cellStyle name="常规 24" xfId="70"/>
    <cellStyle name="常规 25" xfId="71"/>
    <cellStyle name="常规 26" xfId="72"/>
    <cellStyle name="常规 27" xfId="73"/>
    <cellStyle name="常规 28" xfId="74"/>
    <cellStyle name="常规 29" xfId="75"/>
    <cellStyle name="常规 3" xfId="76"/>
    <cellStyle name="常规 30" xfId="77"/>
    <cellStyle name="常规 31" xfId="78"/>
    <cellStyle name="常规 32" xfId="79"/>
    <cellStyle name="常规 32 2" xfId="80"/>
    <cellStyle name="常规 33" xfId="81"/>
    <cellStyle name="常规 34" xfId="82"/>
    <cellStyle name="常规 35" xfId="83"/>
    <cellStyle name="常规 36" xfId="84"/>
    <cellStyle name="常规 37" xfId="85"/>
    <cellStyle name="常规 38" xfId="86"/>
    <cellStyle name="常规 4" xfId="87"/>
    <cellStyle name="常规 5" xfId="88"/>
    <cellStyle name="常规 6" xfId="89"/>
    <cellStyle name="常规 7" xfId="90"/>
    <cellStyle name="常规 8" xfId="91"/>
    <cellStyle name="常规 9" xfId="92"/>
    <cellStyle name="常规 9 2" xfId="93"/>
    <cellStyle name="常规 9 2 2" xfId="94"/>
    <cellStyle name="常规 9 2 2 2" xfId="95"/>
    <cellStyle name="常规 9 2 2 2 2" xfId="96"/>
    <cellStyle name="常规 9 2 2 2 2 2" xfId="97"/>
  </cellStyles>
  <tableStyles count="1" defaultTableStyle="TableStyleMedium9">
    <tableStyle name="数据透视表样式 1" count="0" xr9:uid="{C846C813-ABB7-4018-8118-58E9A8F70CE0}"/>
  </tableStyles>
  <colors>
    <mruColors>
      <color rgb="00FF00FF"/>
      <color rgb="0012AA06"/>
      <color rgb="00FFFFC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69272</xdr:colOff>
      <xdr:row>1</xdr:row>
      <xdr:rowOff>78221</xdr:rowOff>
    </xdr:from>
    <xdr:to>
      <xdr:col>1</xdr:col>
      <xdr:colOff>1402809</xdr:colOff>
      <xdr:row>3</xdr:row>
      <xdr:rowOff>269959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97840" y="459105"/>
          <a:ext cx="1333500" cy="9537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57150</xdr:colOff>
      <xdr:row>14</xdr:row>
      <xdr:rowOff>103505</xdr:rowOff>
    </xdr:from>
    <xdr:to>
      <xdr:col>8</xdr:col>
      <xdr:colOff>1130300</xdr:colOff>
      <xdr:row>20</xdr:row>
      <xdr:rowOff>211455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00" y="5437505"/>
          <a:ext cx="11341100" cy="2393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751840</xdr:colOff>
      <xdr:row>0</xdr:row>
      <xdr:rowOff>63500</xdr:rowOff>
    </xdr:from>
    <xdr:to>
      <xdr:col>1</xdr:col>
      <xdr:colOff>446708</xdr:colOff>
      <xdr:row>1</xdr:row>
      <xdr:rowOff>311921</xdr:rowOff>
    </xdr:to>
    <xdr:pic>
      <xdr:nvPicPr>
        <xdr:cNvPr id="41309" name="Picture 1" descr="杭萧标志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51840" y="63500"/>
          <a:ext cx="513715" cy="514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4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89535</xdr:colOff>
      <xdr:row>26</xdr:row>
      <xdr:rowOff>116205</xdr:rowOff>
    </xdr:from>
    <xdr:to>
      <xdr:col>9</xdr:col>
      <xdr:colOff>1373505</xdr:colOff>
      <xdr:row>32</xdr:row>
      <xdr:rowOff>255905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8160" y="10467340"/>
          <a:ext cx="11494770" cy="2425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C125"/>
  <sheetViews>
    <sheetView tabSelected="1" view="pageBreakPreview" zoomScale="55" zoomScaleNormal="100" workbookViewId="0">
      <selection activeCell="M19" sqref="M19"/>
    </sheetView>
  </sheetViews>
  <sheetFormatPr defaultColWidth="9" defaultRowHeight="15.75"/>
  <cols>
    <col min="1" max="1" width="5.625" style="112" customWidth="1"/>
    <col min="2" max="2" width="18.625" style="112" customWidth="1"/>
    <col min="3" max="3" width="8.625" style="112" customWidth="1"/>
    <col min="4" max="4" width="25.625" style="112" customWidth="1"/>
    <col min="5" max="5" width="52.625" style="112" customWidth="1"/>
    <col min="6" max="6" width="18.625" style="112" customWidth="1"/>
    <col min="7" max="7" width="8.625" style="112" customWidth="1"/>
    <col min="8" max="8" width="20.625" style="112" customWidth="1"/>
    <col min="9" max="9" width="15.625" style="133" customWidth="1"/>
    <col min="10" max="10" width="5.625" style="133" customWidth="1"/>
    <col min="11" max="11" width="35.625" style="110" customWidth="1"/>
    <col min="12" max="16" width="20.625" style="110" customWidth="1"/>
    <col min="17" max="16384" width="9" style="110"/>
  </cols>
  <sheetData>
    <row r="1" ht="30" customHeight="1" spans="1:24">
      <c r="A1" s="134"/>
      <c r="B1" s="135" t="s">
        <v>0</v>
      </c>
      <c r="C1" s="135"/>
      <c r="D1" s="135"/>
      <c r="E1" s="135"/>
      <c r="F1" s="135"/>
      <c r="G1" s="135"/>
      <c r="H1" s="135"/>
      <c r="I1" s="135"/>
      <c r="J1" s="134"/>
      <c r="K1" s="136" t="s">
        <v>1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</row>
    <row r="2" s="127" customFormat="1" ht="30" customHeight="1" spans="1:24">
      <c r="A2" s="137"/>
      <c r="B2" s="138" t="s">
        <v>2</v>
      </c>
      <c r="C2" s="138"/>
      <c r="D2" s="138"/>
      <c r="E2" s="138"/>
      <c r="F2" s="139" t="s">
        <v>3</v>
      </c>
      <c r="G2" s="139"/>
      <c r="H2" s="139"/>
      <c r="I2" s="140" t="s">
        <v>4</v>
      </c>
      <c r="J2" s="141"/>
      <c r="K2" s="142" t="s">
        <v>5</v>
      </c>
      <c r="L2" s="143" t="s">
        <v>6</v>
      </c>
      <c r="M2" s="143" t="s">
        <v>7</v>
      </c>
      <c r="N2" s="143" t="s">
        <v>8</v>
      </c>
      <c r="O2" s="143" t="s">
        <v>9</v>
      </c>
      <c r="P2" s="144"/>
      <c r="Q2" s="144"/>
      <c r="R2" s="144"/>
      <c r="S2" s="144"/>
      <c r="T2" s="145"/>
      <c r="U2" s="145"/>
      <c r="V2" s="145"/>
      <c r="W2" s="145"/>
    </row>
    <row r="3" s="128" customFormat="1" ht="30" customHeight="1" spans="1:24">
      <c r="A3" s="137"/>
      <c r="B3" s="138"/>
      <c r="C3" s="138"/>
      <c r="D3" s="138"/>
      <c r="E3" s="138"/>
      <c r="F3" s="139"/>
      <c r="G3" s="139"/>
      <c r="H3" s="139"/>
      <c r="I3" s="140"/>
      <c r="J3" s="141"/>
      <c r="K3" s="142" t="s">
        <v>10</v>
      </c>
      <c r="L3" s="143" t="s">
        <v>11</v>
      </c>
      <c r="M3" s="143" t="s">
        <v>12</v>
      </c>
      <c r="N3" s="143" t="s">
        <v>13</v>
      </c>
      <c r="O3" s="143" t="s">
        <v>14</v>
      </c>
      <c r="P3" s="146"/>
      <c r="Q3" s="146"/>
      <c r="R3" s="146"/>
      <c r="S3" s="146"/>
      <c r="T3" s="147"/>
      <c r="U3" s="147"/>
      <c r="V3" s="147"/>
      <c r="W3" s="147"/>
      <c r="X3" s="147"/>
    </row>
    <row r="4" s="129" customFormat="1" ht="30" customHeight="1" spans="1:24">
      <c r="A4" s="137"/>
      <c r="B4" s="138"/>
      <c r="C4" s="138"/>
      <c r="D4" s="138"/>
      <c r="E4" s="138"/>
      <c r="F4" s="139"/>
      <c r="G4" s="139"/>
      <c r="H4" s="139"/>
      <c r="I4" s="148" t="str">
        <f ca="1">LEFT(MID(CELL("filename"),FIND("[",CELL("filename"))+1,FIND("]",CELL("filename"))-FIND("[",CELL("filename"))-1),6)</f>
        <v>【REV0】</v>
      </c>
      <c r="J4" s="149"/>
      <c r="K4" s="144"/>
      <c r="L4" s="144"/>
      <c r="M4" s="150"/>
      <c r="N4" s="144"/>
      <c r="O4" s="144"/>
      <c r="P4" s="144"/>
      <c r="Q4" s="144"/>
      <c r="R4" s="144"/>
      <c r="S4" s="144"/>
      <c r="T4" s="145"/>
      <c r="U4" s="145"/>
      <c r="V4" s="145"/>
      <c r="W4" s="145"/>
      <c r="X4" s="145"/>
    </row>
    <row r="5" s="129" customFormat="1" ht="30" customHeight="1" spans="1:24">
      <c r="A5" s="137"/>
      <c r="B5" s="138"/>
      <c r="C5" s="138"/>
      <c r="D5" s="138"/>
      <c r="E5" s="138"/>
      <c r="F5" s="139"/>
      <c r="G5" s="139"/>
      <c r="H5" s="139"/>
      <c r="I5" s="148"/>
      <c r="J5" s="149"/>
      <c r="K5" s="151"/>
      <c r="L5" s="152"/>
      <c r="M5" s="150"/>
      <c r="N5" s="35"/>
      <c r="O5" s="29"/>
      <c r="P5" s="153"/>
      <c r="Q5" s="144"/>
      <c r="R5" s="144"/>
      <c r="S5" s="144"/>
      <c r="T5" s="145"/>
      <c r="U5" s="145"/>
      <c r="V5" s="145"/>
      <c r="W5" s="145"/>
      <c r="X5" s="145"/>
    </row>
    <row r="6" s="129" customFormat="1" ht="30" customHeight="1" spans="1:24">
      <c r="A6" s="154"/>
      <c r="B6" s="155" t="s">
        <v>15</v>
      </c>
      <c r="C6" s="156" t="str">
        <f ca="1">MID((MID((MID((CELL("filename")),FIND("【楼承板清单】",(CELL("filename"))),999)),(FIND("单】",(MID((CELL("filename")),FIND("【楼承板清单】",(CELL("filename"))),999))))+3,999)),FIND("#",(MID((MID((CELL("filename")),FIND("【楼承板清单】",(CELL("filename"))),999)),(FIND("单】",(MID((CELL("filename")),FIND("【楼承板清单】",(CELL("filename"))),999))))+3,999)))+1,FIND("【",(MID((MID((CELL("filename")),FIND("【楼承板清单】",(CELL("filename"))),999)),(FIND("单】",(MID((CELL("filename")),FIND("【楼承板清单】",(CELL("filename"))),999))))+3,999)))-FIND("#",(MID((MID((CELL("filename")),FIND("【楼承板清单】",(CELL("filename"))),999)),(FIND("单】",(MID((CELL("filename")),FIND("【楼承板清单】",(CELL("filename"))),999))))+3,999)))-1)</f>
        <v>项目名称-内容简写</v>
      </c>
      <c r="D6" s="156"/>
      <c r="E6" s="156"/>
      <c r="F6" s="157" t="s">
        <v>16</v>
      </c>
      <c r="G6" s="157"/>
      <c r="H6" s="158" t="s">
        <v>17</v>
      </c>
      <c r="I6" s="158"/>
      <c r="J6" s="159"/>
      <c r="K6" s="160"/>
      <c r="X6" s="145"/>
    </row>
    <row r="7" s="129" customFormat="1" ht="30" customHeight="1" spans="1:24">
      <c r="A7" s="154"/>
      <c r="B7" s="161" t="s">
        <v>18</v>
      </c>
      <c r="C7" s="156" t="str">
        <f ca="1">MID(MID((CELL("filename")),(FIND("【楼承板清单】",CELL("filename"))),999),FIND("单】",MID((CELL("filename")),(FIND("【楼承板清单】",CELL("filename"))),999))+2,FIND("#",MID((CELL("filename")),(FIND("【楼承板清单】",CELL("filename"))),999))-FIND("单】",MID((CELL("filename")),(FIND("【楼承板清单】",CELL("filename"))),999))-2)</f>
        <v>项目编号</v>
      </c>
      <c r="D7" s="156"/>
      <c r="E7" s="156"/>
      <c r="F7" s="157" t="s">
        <v>19</v>
      </c>
      <c r="G7" s="157"/>
      <c r="H7" s="158" t="s">
        <v>17</v>
      </c>
      <c r="I7" s="158"/>
      <c r="J7" s="159"/>
      <c r="K7" s="142" t="s">
        <v>20</v>
      </c>
      <c r="L7" s="162" t="s">
        <v>21</v>
      </c>
      <c r="M7" s="162" t="s">
        <v>22</v>
      </c>
      <c r="N7" s="162" t="s">
        <v>23</v>
      </c>
      <c r="O7" s="162" t="s">
        <v>24</v>
      </c>
      <c r="X7" s="145"/>
    </row>
    <row r="8" s="129" customFormat="1" ht="30" customHeight="1" spans="1:24">
      <c r="A8" s="154"/>
      <c r="B8" s="161"/>
      <c r="C8" s="163"/>
      <c r="D8" s="163"/>
      <c r="E8" s="163"/>
      <c r="F8" s="163"/>
      <c r="G8" s="163"/>
      <c r="H8" s="163"/>
      <c r="I8" s="163"/>
      <c r="J8" s="159"/>
      <c r="K8" s="164"/>
      <c r="L8" s="162" t="s">
        <v>25</v>
      </c>
      <c r="M8" s="162" t="s">
        <v>26</v>
      </c>
      <c r="N8" s="162" t="s">
        <v>27</v>
      </c>
      <c r="O8" s="162" t="s">
        <v>27</v>
      </c>
      <c r="X8" s="145"/>
    </row>
    <row r="9" s="128" customFormat="1" ht="30" customHeight="1" spans="1:24">
      <c r="A9" s="165"/>
      <c r="B9" s="166" t="s">
        <v>28</v>
      </c>
      <c r="C9" s="167" t="s">
        <v>29</v>
      </c>
      <c r="D9" s="167" t="s">
        <v>30</v>
      </c>
      <c r="E9" s="168" t="s">
        <v>31</v>
      </c>
      <c r="F9" s="167" t="s">
        <v>32</v>
      </c>
      <c r="G9" s="167" t="s">
        <v>33</v>
      </c>
      <c r="H9" s="169" t="s">
        <v>34</v>
      </c>
      <c r="I9" s="167" t="s">
        <v>9</v>
      </c>
      <c r="J9" s="170"/>
      <c r="K9" s="129"/>
      <c r="L9" s="129"/>
      <c r="M9" s="129"/>
      <c r="N9" s="129"/>
      <c r="X9" s="147"/>
    </row>
    <row r="10" ht="30" customHeight="1" spans="1:24">
      <c r="A10" s="165"/>
      <c r="B10" s="166"/>
      <c r="C10" s="171">
        <v>1</v>
      </c>
      <c r="D10" s="172" t="str">
        <f>明细清单!B7</f>
        <v>一、楼承板</v>
      </c>
      <c r="E10" s="173" t="str">
        <f>明细清单!B8&amp;"*"&amp;明细清单!C8&amp;"mm"&amp;"   ("&amp;明细清单!D8&amp;")"</f>
        <v>YX60-311-933*1.2mm   (Q235B 镀锌板)</v>
      </c>
      <c r="F10" s="171">
        <f>明细清单!H14</f>
        <v>1763850</v>
      </c>
      <c r="G10" s="171" t="s">
        <v>35</v>
      </c>
      <c r="H10" s="174">
        <f>明细清单!J14</f>
        <v>20254.254273</v>
      </c>
      <c r="I10" s="175" t="str">
        <f>IF(OR(H10=0,ISERROR(H10)),"×","√")</f>
        <v>√</v>
      </c>
      <c r="J10" s="176"/>
      <c r="K10" s="177"/>
      <c r="L10" s="177"/>
      <c r="M10" s="177"/>
      <c r="N10" s="146"/>
      <c r="O10" s="146"/>
      <c r="P10" s="146"/>
      <c r="Q10" s="146"/>
      <c r="R10" s="146"/>
      <c r="S10" s="146"/>
    </row>
    <row r="11" ht="30" customHeight="1" spans="1:24">
      <c r="A11" s="165"/>
      <c r="B11" s="166"/>
      <c r="C11" s="171">
        <v>2</v>
      </c>
      <c r="D11" s="172" t="str">
        <f>明细清单!B15</f>
        <v>二、边模(封边模板)</v>
      </c>
      <c r="E11" s="173" t="str">
        <f>MID(明细清单!B16,1,2)&amp;"*"&amp;明细清单!C16&amp;"mm"&amp;"    ("&amp;明细清单!D16&amp;")"</f>
        <v>L型*1.5mm    (304不锈钢)</v>
      </c>
      <c r="F11" s="171">
        <f>明细清单!H19</f>
        <v>310000</v>
      </c>
      <c r="G11" s="171" t="s">
        <v>35</v>
      </c>
      <c r="H11" s="174">
        <f>明细清单!J19</f>
        <v>734.76</v>
      </c>
      <c r="I11" s="175" t="str">
        <f t="shared" ref="I10:I13" si="0">IF(OR(H11=0,ISERROR(H11)),"×","√")</f>
        <v>√</v>
      </c>
      <c r="J11" s="176"/>
      <c r="K11" s="178"/>
      <c r="L11" s="177"/>
      <c r="M11" s="177"/>
      <c r="N11" s="146"/>
      <c r="O11" s="146"/>
      <c r="P11" s="146"/>
      <c r="Q11" s="146"/>
      <c r="R11" s="146"/>
      <c r="S11" s="146"/>
    </row>
    <row r="12" ht="30" customHeight="1" spans="1:24">
      <c r="A12" s="165"/>
      <c r="B12" s="166"/>
      <c r="C12" s="171">
        <v>3</v>
      </c>
      <c r="D12" s="172" t="str">
        <f>明细清单!B20</f>
        <v>三、栓钉</v>
      </c>
      <c r="E12" s="173" t="str">
        <f>IF(LEFT(明细清单!B23,1)="Φ",明细清单!B21&amp;" + "&amp;明细清单!B22&amp;" + "&amp;明细清单!B23,IF(LEFT(明细清单!B22,1)="Φ",明细清单!B21&amp;" + "&amp;明细清单!B22,IF(LEFT(明细清单!B21,1)="Φ",明细清单!B21,"无")))</f>
        <v>Φ16x100 + Φ19x100 + Φ20x100</v>
      </c>
      <c r="F12" s="171">
        <f>明细清单!G24</f>
        <v>16250</v>
      </c>
      <c r="G12" s="179" t="s">
        <v>36</v>
      </c>
      <c r="H12" s="174">
        <f>明细清单!J24</f>
        <v>3737.5</v>
      </c>
      <c r="I12" s="175" t="str">
        <f t="shared" si="0"/>
        <v>√</v>
      </c>
      <c r="J12" s="176"/>
      <c r="K12" s="178"/>
      <c r="L12" s="177"/>
      <c r="M12" s="177"/>
      <c r="N12" s="146"/>
      <c r="O12" s="146"/>
      <c r="P12" s="146"/>
      <c r="Q12" s="146"/>
      <c r="R12" s="146"/>
      <c r="S12" s="146"/>
    </row>
    <row r="13" s="130" customFormat="1" ht="30" customHeight="1" spans="1:24">
      <c r="A13" s="180"/>
      <c r="B13" s="180"/>
      <c r="C13" s="181"/>
      <c r="D13" s="182" t="s">
        <v>37</v>
      </c>
      <c r="E13" s="182"/>
      <c r="F13" s="182"/>
      <c r="G13" s="182"/>
      <c r="H13" s="183">
        <f>SUM(H10:H12)</f>
        <v>24726.514273</v>
      </c>
      <c r="I13" s="184"/>
      <c r="J13" s="185"/>
      <c r="K13" s="186"/>
      <c r="L13" s="186"/>
      <c r="M13" s="186"/>
      <c r="N13" s="187"/>
      <c r="O13" s="187"/>
      <c r="P13" s="187"/>
      <c r="Q13" s="187"/>
      <c r="R13" s="187"/>
      <c r="S13" s="187"/>
    </row>
    <row r="14" ht="30" customHeight="1" spans="1:24">
      <c r="A14" s="165"/>
      <c r="B14" s="166"/>
      <c r="C14" s="188"/>
      <c r="D14" s="189"/>
      <c r="E14" s="189"/>
      <c r="F14" s="189"/>
      <c r="G14" s="190"/>
      <c r="H14" s="191"/>
      <c r="I14" s="192"/>
      <c r="J14" s="176"/>
      <c r="K14" s="178"/>
      <c r="L14" s="177"/>
      <c r="M14" s="177"/>
      <c r="N14" s="146"/>
      <c r="O14" s="146"/>
      <c r="P14" s="146"/>
      <c r="Q14" s="146"/>
      <c r="R14" s="146"/>
      <c r="S14" s="146"/>
    </row>
    <row r="15" ht="30" customHeight="1" spans="1:24">
      <c r="A15" s="165"/>
      <c r="B15" s="166"/>
      <c r="C15" s="193"/>
      <c r="D15" s="193"/>
      <c r="E15" s="193"/>
      <c r="F15" s="193"/>
      <c r="G15" s="193"/>
      <c r="H15" s="193"/>
      <c r="I15" s="193"/>
      <c r="J15" s="176"/>
      <c r="K15" s="178"/>
      <c r="L15" s="177"/>
      <c r="M15" s="177"/>
      <c r="N15" s="146"/>
      <c r="O15" s="146"/>
      <c r="P15" s="146"/>
      <c r="Q15" s="146"/>
      <c r="R15" s="146"/>
      <c r="S15" s="146"/>
    </row>
    <row r="16" ht="30" customHeight="1" spans="1:24">
      <c r="A16" s="165"/>
      <c r="B16" s="166"/>
      <c r="C16" s="193"/>
      <c r="D16" s="193"/>
      <c r="E16" s="193"/>
      <c r="F16" s="193"/>
      <c r="G16" s="193"/>
      <c r="H16" s="193"/>
      <c r="I16" s="193"/>
      <c r="J16" s="176"/>
      <c r="K16" s="178"/>
      <c r="L16" s="177"/>
      <c r="M16" s="177"/>
      <c r="N16" s="146"/>
      <c r="O16" s="146"/>
      <c r="P16" s="146"/>
      <c r="Q16" s="146"/>
      <c r="R16" s="146"/>
      <c r="S16" s="146"/>
    </row>
    <row r="17" ht="30" customHeight="1" spans="1:19">
      <c r="A17" s="165"/>
      <c r="B17" s="166"/>
      <c r="C17" s="193"/>
      <c r="D17" s="193"/>
      <c r="E17" s="193"/>
      <c r="F17" s="193"/>
      <c r="G17" s="193"/>
      <c r="H17" s="193"/>
      <c r="I17" s="193"/>
      <c r="J17" s="176"/>
      <c r="K17" s="178"/>
      <c r="L17" s="177"/>
      <c r="M17" s="177"/>
      <c r="N17" s="146"/>
      <c r="O17" s="146"/>
      <c r="P17" s="146"/>
      <c r="Q17" s="146"/>
      <c r="R17" s="146"/>
      <c r="S17" s="146"/>
    </row>
    <row r="18" ht="30" customHeight="1" spans="1:19">
      <c r="A18" s="165"/>
      <c r="B18" s="166"/>
      <c r="C18" s="193"/>
      <c r="D18" s="193"/>
      <c r="E18" s="193"/>
      <c r="F18" s="193"/>
      <c r="G18" s="193"/>
      <c r="H18" s="193"/>
      <c r="I18" s="193"/>
      <c r="J18" s="176"/>
      <c r="K18" s="178"/>
      <c r="L18" s="177"/>
      <c r="M18" s="177"/>
      <c r="N18" s="146"/>
      <c r="O18" s="146"/>
      <c r="P18" s="146"/>
      <c r="Q18" s="146"/>
      <c r="R18" s="146"/>
      <c r="S18" s="146"/>
    </row>
    <row r="19" ht="30" customHeight="1" spans="1:19">
      <c r="A19" s="165"/>
      <c r="B19" s="166"/>
      <c r="C19" s="193"/>
      <c r="D19" s="193"/>
      <c r="E19" s="193"/>
      <c r="F19" s="193"/>
      <c r="G19" s="193"/>
      <c r="H19" s="193"/>
      <c r="I19" s="193"/>
      <c r="J19" s="176"/>
      <c r="K19" s="178"/>
      <c r="L19" s="177"/>
      <c r="M19" s="177"/>
      <c r="N19" s="146"/>
      <c r="O19" s="146"/>
      <c r="P19" s="146"/>
      <c r="Q19" s="146"/>
      <c r="R19" s="146"/>
      <c r="S19" s="146"/>
    </row>
    <row r="20" ht="30" customHeight="1" spans="1:19">
      <c r="A20" s="165"/>
      <c r="B20" s="166"/>
      <c r="C20" s="193"/>
      <c r="D20" s="193"/>
      <c r="E20" s="193"/>
      <c r="F20" s="193"/>
      <c r="G20" s="193"/>
      <c r="H20" s="193"/>
      <c r="I20" s="193"/>
      <c r="J20" s="176"/>
      <c r="K20" s="178"/>
      <c r="L20" s="177"/>
      <c r="M20" s="177"/>
      <c r="N20" s="146"/>
      <c r="O20" s="146"/>
      <c r="P20" s="146"/>
      <c r="Q20" s="146"/>
      <c r="R20" s="146"/>
      <c r="S20" s="146"/>
    </row>
    <row r="21" ht="30" customHeight="1" spans="1:19">
      <c r="A21" s="165"/>
      <c r="B21" s="166"/>
      <c r="C21" s="193"/>
      <c r="D21" s="193"/>
      <c r="E21" s="193"/>
      <c r="F21" s="193"/>
      <c r="G21" s="193"/>
      <c r="H21" s="193"/>
      <c r="I21" s="193"/>
      <c r="J21" s="176"/>
      <c r="K21" s="178"/>
      <c r="L21" s="177"/>
      <c r="M21" s="177"/>
      <c r="N21" s="146"/>
      <c r="O21" s="146"/>
      <c r="P21" s="146"/>
      <c r="Q21" s="146"/>
      <c r="R21" s="146"/>
      <c r="S21" s="146"/>
    </row>
    <row r="22" ht="30" customHeight="1" spans="1:19">
      <c r="A22" s="165"/>
      <c r="B22" s="166"/>
      <c r="C22" s="193"/>
      <c r="D22" s="193"/>
      <c r="E22" s="193"/>
      <c r="F22" s="193"/>
      <c r="G22" s="193"/>
      <c r="H22" s="193"/>
      <c r="I22" s="193"/>
      <c r="J22" s="176"/>
      <c r="K22" s="178"/>
      <c r="L22" s="177"/>
      <c r="M22" s="177"/>
      <c r="N22" s="146"/>
      <c r="O22" s="146"/>
      <c r="P22" s="146"/>
      <c r="Q22" s="146"/>
      <c r="R22" s="146"/>
      <c r="S22" s="146"/>
    </row>
    <row r="23" ht="30" customHeight="1" spans="1:19">
      <c r="A23" s="165"/>
      <c r="B23" s="166"/>
      <c r="C23" s="193"/>
      <c r="D23" s="193"/>
      <c r="E23" s="193"/>
      <c r="F23" s="193"/>
      <c r="G23" s="193"/>
      <c r="H23" s="193"/>
      <c r="I23" s="193"/>
      <c r="J23" s="176"/>
      <c r="K23" s="178"/>
      <c r="L23" s="177"/>
      <c r="M23" s="177"/>
      <c r="N23" s="146"/>
      <c r="O23" s="146"/>
      <c r="P23" s="146"/>
      <c r="Q23" s="146"/>
      <c r="R23" s="146"/>
      <c r="S23" s="146"/>
    </row>
    <row r="24" ht="30" customHeight="1" spans="1:19">
      <c r="A24" s="165"/>
      <c r="B24" s="166"/>
      <c r="C24" s="193"/>
      <c r="D24" s="193"/>
      <c r="E24" s="193"/>
      <c r="F24" s="193"/>
      <c r="G24" s="193"/>
      <c r="H24" s="193"/>
      <c r="I24" s="193"/>
      <c r="J24" s="176"/>
      <c r="K24" s="178"/>
      <c r="L24" s="177"/>
      <c r="M24" s="177"/>
      <c r="N24" s="146"/>
      <c r="O24" s="146"/>
      <c r="P24" s="146"/>
      <c r="Q24" s="146"/>
      <c r="R24" s="146"/>
      <c r="S24" s="146"/>
    </row>
    <row r="25" ht="30" customHeight="1" spans="1:19">
      <c r="A25" s="165"/>
      <c r="B25" s="166"/>
      <c r="C25" s="193"/>
      <c r="D25" s="193"/>
      <c r="E25" s="193"/>
      <c r="F25" s="193"/>
      <c r="G25" s="193"/>
      <c r="H25" s="193"/>
      <c r="I25" s="193"/>
      <c r="J25" s="176"/>
      <c r="K25" s="178"/>
      <c r="L25" s="177"/>
      <c r="M25" s="177"/>
      <c r="N25" s="146"/>
      <c r="O25" s="146"/>
      <c r="P25" s="146"/>
      <c r="Q25" s="146"/>
      <c r="R25" s="146"/>
      <c r="S25" s="146"/>
    </row>
    <row r="26" ht="30" customHeight="1" spans="1:19">
      <c r="A26" s="165"/>
      <c r="B26" s="166"/>
      <c r="C26" s="193"/>
      <c r="D26" s="193"/>
      <c r="E26" s="193"/>
      <c r="F26" s="193"/>
      <c r="G26" s="193"/>
      <c r="H26" s="193"/>
      <c r="I26" s="193"/>
      <c r="J26" s="176"/>
      <c r="K26" s="178"/>
      <c r="L26" s="177"/>
      <c r="M26" s="177"/>
      <c r="N26" s="146"/>
      <c r="O26" s="146"/>
      <c r="P26" s="146"/>
      <c r="Q26" s="146"/>
      <c r="R26" s="146"/>
      <c r="S26" s="146"/>
    </row>
    <row r="27" ht="30" customHeight="1" spans="1:19">
      <c r="A27" s="165"/>
      <c r="B27" s="166"/>
      <c r="C27" s="193"/>
      <c r="D27" s="193"/>
      <c r="E27" s="193"/>
      <c r="F27" s="193"/>
      <c r="G27" s="193"/>
      <c r="H27" s="193"/>
      <c r="I27" s="193"/>
      <c r="J27" s="176"/>
      <c r="K27" s="178"/>
      <c r="L27" s="177"/>
      <c r="M27" s="177"/>
      <c r="N27" s="146"/>
      <c r="O27" s="146"/>
      <c r="P27" s="146"/>
      <c r="Q27" s="146"/>
      <c r="R27" s="146"/>
      <c r="S27" s="146"/>
    </row>
    <row r="28" ht="30" customHeight="1" spans="1:19">
      <c r="A28" s="165"/>
      <c r="B28" s="166"/>
      <c r="C28" s="193"/>
      <c r="D28" s="193"/>
      <c r="E28" s="193"/>
      <c r="F28" s="193"/>
      <c r="G28" s="193"/>
      <c r="H28" s="193"/>
      <c r="I28" s="193"/>
      <c r="J28" s="176"/>
      <c r="K28" s="178"/>
      <c r="L28" s="177"/>
      <c r="M28" s="177"/>
      <c r="N28" s="146"/>
      <c r="O28" s="146"/>
      <c r="P28" s="146"/>
      <c r="Q28" s="146"/>
      <c r="R28" s="146"/>
      <c r="S28" s="146"/>
    </row>
    <row r="29" ht="30" customHeight="1" spans="1:19">
      <c r="A29" s="165"/>
      <c r="B29" s="166"/>
      <c r="C29" s="193"/>
      <c r="D29" s="193"/>
      <c r="E29" s="193"/>
      <c r="F29" s="193"/>
      <c r="G29" s="193"/>
      <c r="H29" s="193"/>
      <c r="I29" s="193"/>
      <c r="J29" s="176"/>
      <c r="K29" s="178"/>
      <c r="L29" s="177"/>
      <c r="M29" s="177"/>
      <c r="N29" s="146"/>
      <c r="O29" s="146"/>
      <c r="P29" s="146"/>
      <c r="Q29" s="146"/>
      <c r="R29" s="146"/>
      <c r="S29" s="146"/>
    </row>
    <row r="30" ht="30" customHeight="1" spans="1:19">
      <c r="A30" s="165"/>
      <c r="B30" s="166"/>
      <c r="C30" s="193"/>
      <c r="D30" s="193"/>
      <c r="E30" s="193"/>
      <c r="F30" s="193"/>
      <c r="G30" s="193"/>
      <c r="H30" s="193"/>
      <c r="I30" s="193"/>
      <c r="J30" s="176"/>
      <c r="K30" s="178"/>
      <c r="L30" s="177"/>
      <c r="M30" s="177"/>
      <c r="N30" s="146"/>
      <c r="O30" s="146"/>
      <c r="P30" s="146"/>
      <c r="Q30" s="146"/>
      <c r="R30" s="146"/>
      <c r="S30" s="146"/>
    </row>
    <row r="31" ht="30" customHeight="1" spans="1:19">
      <c r="A31" s="165"/>
      <c r="B31" s="166"/>
      <c r="C31" s="193"/>
      <c r="D31" s="193"/>
      <c r="E31" s="193"/>
      <c r="F31" s="193"/>
      <c r="G31" s="193"/>
      <c r="H31" s="193"/>
      <c r="I31" s="193"/>
      <c r="J31" s="176"/>
      <c r="K31" s="178"/>
      <c r="L31" s="177"/>
      <c r="M31" s="177"/>
      <c r="N31" s="146"/>
      <c r="O31" s="146"/>
      <c r="P31" s="146"/>
      <c r="Q31" s="146"/>
      <c r="R31" s="146"/>
      <c r="S31" s="146"/>
    </row>
    <row r="32" ht="30" customHeight="1" spans="1:19">
      <c r="A32" s="165"/>
      <c r="B32" s="166"/>
      <c r="C32" s="193"/>
      <c r="D32" s="193"/>
      <c r="E32" s="193"/>
      <c r="F32" s="193"/>
      <c r="G32" s="193"/>
      <c r="H32" s="193"/>
      <c r="I32" s="193"/>
      <c r="J32" s="176"/>
      <c r="K32" s="178"/>
      <c r="L32" s="177"/>
      <c r="M32" s="177"/>
      <c r="N32" s="146"/>
      <c r="O32" s="146"/>
      <c r="P32" s="146"/>
      <c r="Q32" s="146"/>
      <c r="R32" s="146"/>
      <c r="S32" s="146"/>
    </row>
    <row r="33" ht="30" customHeight="1" spans="1:29">
      <c r="A33" s="165"/>
      <c r="B33" s="166"/>
      <c r="C33" s="193"/>
      <c r="D33" s="193"/>
      <c r="E33" s="193"/>
      <c r="F33" s="193"/>
      <c r="G33" s="193"/>
      <c r="H33" s="193"/>
      <c r="I33" s="193"/>
      <c r="J33" s="176"/>
      <c r="K33" s="178"/>
      <c r="L33" s="177"/>
      <c r="M33" s="177"/>
      <c r="N33" s="146"/>
      <c r="O33" s="146"/>
      <c r="P33" s="146"/>
      <c r="Q33" s="146"/>
      <c r="R33" s="146"/>
      <c r="S33" s="146"/>
    </row>
    <row r="34" ht="30" customHeight="1" spans="1:29">
      <c r="A34" s="165"/>
      <c r="B34" s="166"/>
      <c r="C34" s="193"/>
      <c r="D34" s="193"/>
      <c r="E34" s="193"/>
      <c r="F34" s="193"/>
      <c r="G34" s="193"/>
      <c r="H34" s="193"/>
      <c r="I34" s="193"/>
      <c r="J34" s="176"/>
      <c r="K34" s="178"/>
      <c r="L34" s="177"/>
      <c r="M34" s="177"/>
      <c r="N34" s="146"/>
      <c r="O34" s="146"/>
      <c r="P34" s="146"/>
      <c r="Q34" s="146"/>
      <c r="R34" s="146"/>
      <c r="S34" s="146"/>
    </row>
    <row r="35" ht="30" customHeight="1" spans="1:29">
      <c r="A35" s="165"/>
      <c r="B35" s="166"/>
      <c r="C35" s="193"/>
      <c r="D35" s="193"/>
      <c r="E35" s="193"/>
      <c r="F35" s="193"/>
      <c r="G35" s="193"/>
      <c r="H35" s="193"/>
      <c r="I35" s="193"/>
      <c r="J35" s="176"/>
      <c r="K35" s="178"/>
      <c r="L35" s="177"/>
      <c r="M35" s="177"/>
      <c r="N35" s="146"/>
      <c r="O35" s="146"/>
      <c r="P35" s="146"/>
      <c r="Q35" s="146"/>
      <c r="R35" s="146"/>
      <c r="S35" s="146"/>
    </row>
    <row r="36" ht="30" customHeight="1" spans="1:29">
      <c r="A36" s="165"/>
      <c r="B36" s="166"/>
      <c r="C36" s="193"/>
      <c r="D36" s="193"/>
      <c r="E36" s="193"/>
      <c r="F36" s="193"/>
      <c r="G36" s="193"/>
      <c r="H36" s="193"/>
      <c r="I36" s="193"/>
      <c r="J36" s="176"/>
      <c r="K36" s="178"/>
      <c r="L36" s="177"/>
      <c r="M36" s="177"/>
      <c r="N36" s="146"/>
      <c r="O36" s="146"/>
      <c r="P36" s="146"/>
      <c r="Q36" s="146"/>
      <c r="R36" s="146"/>
      <c r="S36" s="146"/>
    </row>
    <row r="37" ht="30" customHeight="1" spans="1:29">
      <c r="A37" s="165"/>
      <c r="B37" s="166"/>
      <c r="C37" s="193"/>
      <c r="D37" s="193"/>
      <c r="E37" s="193"/>
      <c r="F37" s="193"/>
      <c r="G37" s="193"/>
      <c r="H37" s="193"/>
      <c r="I37" s="193"/>
      <c r="J37" s="176"/>
      <c r="K37" s="178"/>
      <c r="L37" s="177"/>
      <c r="M37" s="177"/>
      <c r="N37" s="146"/>
      <c r="O37" s="146"/>
      <c r="P37" s="146"/>
      <c r="Q37" s="146"/>
      <c r="R37" s="146"/>
      <c r="S37" s="146"/>
    </row>
    <row r="38" ht="30" customHeight="1" spans="1:29">
      <c r="A38" s="165"/>
      <c r="B38" s="166"/>
      <c r="C38" s="188"/>
      <c r="D38" s="194"/>
      <c r="E38" s="194"/>
      <c r="F38" s="194"/>
      <c r="G38" s="195"/>
      <c r="H38" s="196"/>
      <c r="I38" s="197"/>
      <c r="J38" s="176"/>
      <c r="K38" s="178"/>
      <c r="L38" s="177"/>
      <c r="M38" s="177"/>
      <c r="N38" s="146"/>
      <c r="O38" s="146"/>
      <c r="P38" s="146"/>
      <c r="Q38" s="146"/>
      <c r="R38" s="146"/>
      <c r="S38" s="146"/>
    </row>
    <row r="39" ht="30" customHeight="1" spans="1:29">
      <c r="A39" s="165"/>
      <c r="B39" s="166"/>
      <c r="C39" s="188"/>
      <c r="D39" s="194"/>
      <c r="E39" s="194"/>
      <c r="F39" s="194"/>
      <c r="G39" s="195"/>
      <c r="H39" s="196"/>
      <c r="I39" s="197"/>
      <c r="J39" s="176"/>
      <c r="K39" s="178"/>
      <c r="L39" s="177"/>
      <c r="M39" s="177"/>
      <c r="N39" s="146"/>
      <c r="O39" s="146"/>
      <c r="P39" s="146"/>
      <c r="Q39" s="146"/>
      <c r="R39" s="146"/>
      <c r="S39" s="146"/>
    </row>
    <row r="40" ht="30" customHeight="1" spans="1:29">
      <c r="A40" s="165"/>
      <c r="B40" s="166"/>
      <c r="C40" s="188"/>
      <c r="D40" s="194"/>
      <c r="E40" s="194"/>
      <c r="F40" s="194"/>
      <c r="G40" s="195"/>
      <c r="H40" s="196"/>
      <c r="I40" s="197"/>
      <c r="J40" s="176"/>
      <c r="K40" s="178"/>
      <c r="L40" s="177"/>
      <c r="M40" s="177"/>
      <c r="N40" s="146"/>
      <c r="O40" s="146"/>
      <c r="P40" s="146"/>
      <c r="Q40" s="146"/>
      <c r="R40" s="146"/>
      <c r="S40" s="146"/>
    </row>
    <row r="41" ht="30" customHeight="1" spans="1:29">
      <c r="A41" s="165"/>
      <c r="B41" s="166"/>
      <c r="C41" s="188"/>
      <c r="D41" s="194"/>
      <c r="E41" s="194"/>
      <c r="F41" s="194"/>
      <c r="G41" s="195"/>
      <c r="H41" s="196"/>
      <c r="I41" s="197"/>
      <c r="J41" s="176"/>
      <c r="K41" s="178"/>
      <c r="L41" s="177"/>
      <c r="M41" s="177"/>
      <c r="N41" s="146"/>
      <c r="O41" s="146"/>
      <c r="P41" s="146"/>
      <c r="Q41" s="146"/>
      <c r="R41" s="146"/>
      <c r="S41" s="146"/>
    </row>
    <row r="42" ht="30" customHeight="1" spans="1:29">
      <c r="A42" s="165"/>
      <c r="B42" s="166"/>
      <c r="C42" s="188"/>
      <c r="D42" s="194"/>
      <c r="E42" s="194"/>
      <c r="F42" s="194"/>
      <c r="G42" s="195"/>
      <c r="H42" s="196"/>
      <c r="I42" s="197"/>
      <c r="J42" s="176"/>
      <c r="K42" s="178"/>
      <c r="L42" s="177"/>
      <c r="M42" s="177"/>
      <c r="N42" s="146"/>
      <c r="O42" s="146"/>
      <c r="P42" s="146"/>
      <c r="Q42" s="146"/>
      <c r="R42" s="146"/>
      <c r="S42" s="146"/>
    </row>
    <row r="43" ht="30" customHeight="1" spans="1:29">
      <c r="A43" s="165"/>
      <c r="B43" s="166"/>
      <c r="C43" s="188"/>
      <c r="D43" s="194"/>
      <c r="E43" s="194"/>
      <c r="F43" s="194"/>
      <c r="G43" s="195"/>
      <c r="H43" s="196"/>
      <c r="I43" s="197"/>
      <c r="J43" s="176"/>
      <c r="K43" s="178"/>
      <c r="L43" s="177"/>
      <c r="M43" s="177"/>
      <c r="N43" s="146"/>
      <c r="O43" s="146"/>
      <c r="P43" s="146"/>
      <c r="Q43" s="146"/>
      <c r="R43" s="146"/>
      <c r="S43" s="146"/>
    </row>
    <row r="44" ht="30" customHeight="1" spans="1:29">
      <c r="A44" s="165"/>
      <c r="B44" s="166"/>
      <c r="C44" s="188"/>
      <c r="D44" s="194"/>
      <c r="E44" s="194"/>
      <c r="F44" s="194"/>
      <c r="G44" s="195"/>
      <c r="H44" s="196"/>
      <c r="I44" s="197"/>
      <c r="J44" s="176"/>
      <c r="K44" s="178"/>
      <c r="L44" s="177"/>
      <c r="M44" s="177"/>
      <c r="N44" s="146"/>
      <c r="O44" s="146"/>
      <c r="P44" s="146"/>
      <c r="Q44" s="146"/>
      <c r="R44" s="146"/>
      <c r="S44" s="146"/>
    </row>
    <row r="45" ht="30" customHeight="1" spans="1:29">
      <c r="A45" s="165"/>
      <c r="B45" s="166"/>
      <c r="C45" s="188"/>
      <c r="D45" s="194"/>
      <c r="E45" s="194"/>
      <c r="F45" s="194"/>
      <c r="G45" s="195"/>
      <c r="H45" s="196"/>
      <c r="I45" s="197"/>
      <c r="J45" s="176"/>
      <c r="K45" s="178"/>
      <c r="L45" s="177"/>
      <c r="M45" s="177"/>
      <c r="N45" s="146"/>
      <c r="O45" s="146"/>
      <c r="P45" s="146"/>
      <c r="Q45" s="146"/>
      <c r="R45" s="146"/>
      <c r="S45" s="146"/>
    </row>
    <row r="46" ht="30" customHeight="1" spans="1:29">
      <c r="A46" s="188"/>
      <c r="B46" s="198"/>
      <c r="C46" s="198"/>
      <c r="D46" s="198"/>
      <c r="E46" s="198"/>
      <c r="F46" s="198"/>
      <c r="G46" s="198"/>
      <c r="H46" s="198"/>
      <c r="I46" s="198"/>
      <c r="J46" s="176"/>
      <c r="K46" s="199"/>
      <c r="L46" s="185"/>
      <c r="M46" s="186"/>
      <c r="N46" s="186"/>
      <c r="O46" s="186"/>
      <c r="P46" s="186"/>
      <c r="Q46" s="186"/>
      <c r="R46" s="186"/>
      <c r="S46" s="186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</row>
    <row r="47" s="131" customFormat="1" ht="45" customHeight="1" spans="1:29">
      <c r="A47" s="165"/>
      <c r="B47" s="200" t="s">
        <v>38</v>
      </c>
      <c r="C47" s="201"/>
      <c r="D47" s="201"/>
      <c r="E47" s="201"/>
      <c r="F47" s="200" t="s">
        <v>39</v>
      </c>
      <c r="G47" s="200"/>
      <c r="H47" s="201"/>
      <c r="I47" s="201"/>
      <c r="J47" s="17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</row>
    <row r="48" s="131" customFormat="1" ht="45" customHeight="1" spans="1:29">
      <c r="A48" s="165"/>
      <c r="B48" s="200" t="s">
        <v>40</v>
      </c>
      <c r="C48" s="201"/>
      <c r="D48" s="201"/>
      <c r="E48" s="201"/>
      <c r="F48" s="200" t="s">
        <v>41</v>
      </c>
      <c r="G48" s="200"/>
      <c r="H48" s="201"/>
      <c r="I48" s="201"/>
      <c r="J48" s="17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</row>
    <row r="49" s="131" customFormat="1" ht="45" customHeight="1" spans="1:29">
      <c r="A49" s="202"/>
      <c r="B49" s="203" t="s">
        <v>42</v>
      </c>
      <c r="C49" s="204">
        <v>46023</v>
      </c>
      <c r="D49" s="204"/>
      <c r="E49" s="204"/>
      <c r="F49" s="204"/>
      <c r="G49" s="204"/>
      <c r="H49" s="204"/>
      <c r="I49" s="204"/>
      <c r="J49" s="205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</row>
    <row r="50" s="132" customFormat="1" ht="45" customHeight="1" spans="1:29">
      <c r="A50" s="202"/>
      <c r="B50" s="203"/>
      <c r="C50" s="204"/>
      <c r="D50" s="204"/>
      <c r="E50" s="204"/>
      <c r="F50" s="204"/>
      <c r="G50" s="204"/>
      <c r="H50" s="204"/>
      <c r="I50" s="204"/>
      <c r="J50" s="205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</row>
    <row r="51" ht="25" customHeight="1" spans="1:29">
      <c r="A51" s="188"/>
      <c r="B51" s="206"/>
      <c r="C51" s="206"/>
      <c r="D51" s="206"/>
      <c r="E51" s="206"/>
      <c r="F51" s="206"/>
      <c r="G51" s="206"/>
      <c r="H51" s="206"/>
      <c r="I51" s="206"/>
      <c r="J51" s="176"/>
    </row>
    <row r="52" s="128" customFormat="1" ht="25" customHeight="1" spans="1:29">
      <c r="A52" s="207" t="s">
        <v>43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</row>
    <row r="53" ht="30" customHeight="1" spans="1:29">
      <c r="B53" s="208" t="s">
        <v>44</v>
      </c>
      <c r="C53" s="208"/>
      <c r="D53" s="208"/>
      <c r="E53" s="208"/>
      <c r="F53" s="208"/>
      <c r="G53" s="208"/>
      <c r="H53" s="208"/>
      <c r="I53" s="208"/>
    </row>
    <row r="54" ht="30" customHeight="1" spans="1:29">
      <c r="B54" s="209"/>
    </row>
    <row r="55" ht="30" customHeight="1" spans="1:29">
      <c r="B55" s="209"/>
    </row>
    <row r="56" ht="30" customHeight="1" spans="1:29">
      <c r="B56" s="209"/>
    </row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</sheetData>
  <mergeCells count="26">
    <mergeCell ref="B1:I1"/>
    <mergeCell ref="K1:W1"/>
    <mergeCell ref="N5:O5"/>
    <mergeCell ref="C6:E6"/>
    <mergeCell ref="F6:G6"/>
    <mergeCell ref="H6:I6"/>
    <mergeCell ref="C7:E7"/>
    <mergeCell ref="F7:G7"/>
    <mergeCell ref="H7:I7"/>
    <mergeCell ref="D13:G13"/>
    <mergeCell ref="B46:I46"/>
    <mergeCell ref="C47:E47"/>
    <mergeCell ref="F47:G47"/>
    <mergeCell ref="H47:I47"/>
    <mergeCell ref="C48:E48"/>
    <mergeCell ref="F48:G48"/>
    <mergeCell ref="H48:I48"/>
    <mergeCell ref="C49:I49"/>
    <mergeCell ref="B51:I51"/>
    <mergeCell ref="A52:J52"/>
    <mergeCell ref="B53:I53"/>
    <mergeCell ref="I2:I3"/>
    <mergeCell ref="I4:I5"/>
    <mergeCell ref="B2:E5"/>
    <mergeCell ref="F2:H5"/>
    <mergeCell ref="C15:I21"/>
  </mergeCells>
  <printOptions horizontalCentered="1"/>
  <pageMargins left="0.511805555555556" right="0.314583333333333" top="0.393055555555556" bottom="0.393055555555556" header="0.511805555555556" footer="0.156944444444444"/>
  <pageSetup paperSize="9" scale="4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R14"/>
  <sheetViews>
    <sheetView view="pageBreakPreview" zoomScale="130" zoomScaleNormal="100" workbookViewId="0">
      <pane ySplit="6" topLeftCell="A7" activePane="bottomLeft" state="frozen"/>
      <selection/>
      <selection pane="bottomLeft" activeCell="D12" sqref="D12"/>
    </sheetView>
  </sheetViews>
  <sheetFormatPr defaultColWidth="9" defaultRowHeight="15.75"/>
  <cols>
    <col min="1" max="1" width="10.75" style="110" customWidth="1"/>
    <col min="2" max="2" width="13" style="110" customWidth="1"/>
    <col min="3" max="3" width="8.25" style="110" customWidth="1"/>
    <col min="4" max="4" width="8.25" style="111" customWidth="1"/>
    <col min="5" max="5" width="9.75" style="110" customWidth="1"/>
    <col min="6" max="8" width="8.25" style="110" customWidth="1"/>
    <col min="9" max="9" width="11.75" style="110" customWidth="1"/>
    <col min="10" max="10" width="8.5" style="110" customWidth="1"/>
    <col min="11" max="11" width="6.375" style="110" customWidth="1"/>
    <col min="12" max="12" width="7.625" style="110" customWidth="1"/>
    <col min="13" max="16384" width="9" style="110"/>
  </cols>
  <sheetData>
    <row r="1" ht="21" customHeight="1" spans="1:200">
      <c r="A1" s="112" t="e">
        <f>#REF!</f>
        <v>#REF!</v>
      </c>
      <c r="B1" s="112"/>
      <c r="C1" s="112"/>
      <c r="D1" s="112"/>
      <c r="E1" s="112"/>
      <c r="F1" s="112"/>
      <c r="G1" s="112"/>
      <c r="H1" s="112"/>
      <c r="I1" s="112"/>
      <c r="J1" s="112"/>
    </row>
    <row r="2" ht="26.1" customHeight="1" spans="1:200">
      <c r="A2" s="113" t="s">
        <v>45</v>
      </c>
      <c r="B2" s="113"/>
      <c r="C2" s="113"/>
      <c r="D2" s="113"/>
      <c r="E2" s="113"/>
      <c r="F2" s="113"/>
      <c r="G2" s="113"/>
      <c r="H2" s="113"/>
      <c r="I2" s="113"/>
      <c r="J2" s="113"/>
    </row>
    <row r="3" s="105" customFormat="1" ht="17.45" customHeight="1" spans="1:200">
      <c r="A3" s="114" t="str">
        <f>明细清单!A4</f>
        <v>工程名称：</v>
      </c>
      <c r="B3" s="114"/>
      <c r="C3" s="114"/>
      <c r="D3" s="114"/>
      <c r="E3" s="114"/>
      <c r="F3" s="114"/>
      <c r="G3" s="114"/>
      <c r="H3" s="114"/>
      <c r="I3" s="114"/>
      <c r="J3" s="114"/>
      <c r="K3" s="110"/>
    </row>
    <row r="4" s="105" customFormat="1" ht="17.45" customHeight="1" spans="1:200">
      <c r="A4" s="114" t="str">
        <f>明细清单!A5</f>
        <v>工程编号：</v>
      </c>
      <c r="B4" s="114"/>
      <c r="C4" s="114"/>
      <c r="D4" s="114"/>
      <c r="E4" s="114"/>
      <c r="F4" s="114">
        <f>明细清单!F5</f>
        <v>0</v>
      </c>
      <c r="G4" s="114"/>
      <c r="H4" s="114"/>
      <c r="I4" s="115"/>
      <c r="J4" s="114"/>
      <c r="K4" s="110"/>
    </row>
    <row r="5" s="106" customFormat="1" ht="17.45" customHeight="1" spans="1:200">
      <c r="A5" s="114" t="e">
        <f>明细清单!#REF!</f>
        <v>#REF!</v>
      </c>
      <c r="B5" s="114"/>
      <c r="C5" s="114"/>
      <c r="D5" s="114"/>
      <c r="E5" s="114"/>
      <c r="F5" s="114" t="e">
        <f>明细清单!#REF!</f>
        <v>#REF!</v>
      </c>
      <c r="G5" s="114"/>
      <c r="H5" s="114"/>
      <c r="I5" s="115"/>
      <c r="J5" s="114"/>
      <c r="K5" s="110"/>
    </row>
    <row r="6" s="107" customFormat="1" ht="15.95" customHeight="1" spans="1:200">
      <c r="A6" s="116" t="s">
        <v>46</v>
      </c>
      <c r="B6" s="116" t="s">
        <v>47</v>
      </c>
      <c r="C6" s="116" t="s">
        <v>33</v>
      </c>
      <c r="D6" s="117" t="s">
        <v>32</v>
      </c>
      <c r="E6" s="116" t="s">
        <v>48</v>
      </c>
      <c r="F6" s="116" t="s">
        <v>49</v>
      </c>
      <c r="G6" s="116" t="s">
        <v>50</v>
      </c>
      <c r="H6" s="116" t="s">
        <v>51</v>
      </c>
      <c r="I6" s="116" t="s">
        <v>52</v>
      </c>
      <c r="J6" s="116"/>
      <c r="K6" s="109"/>
    </row>
    <row r="7" s="108" customFormat="1" ht="15.95" customHeight="1" spans="1:200">
      <c r="A7" s="118" t="s">
        <v>53</v>
      </c>
      <c r="B7" s="119" t="s">
        <v>54</v>
      </c>
      <c r="C7" s="120" t="s">
        <v>55</v>
      </c>
      <c r="D7" s="121">
        <f ca="1">SUMIFS(明细清单!F:F,明细清单!C:C,A7)</f>
        <v>0</v>
      </c>
      <c r="E7" s="120" t="s">
        <v>56</v>
      </c>
      <c r="G7" s="122"/>
      <c r="H7" s="123"/>
      <c r="I7" s="123"/>
      <c r="J7" s="123"/>
      <c r="K7" s="124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109"/>
      <c r="DZ7" s="109"/>
      <c r="EA7" s="109"/>
      <c r="EB7" s="109"/>
      <c r="EC7" s="109"/>
      <c r="ED7" s="109"/>
      <c r="EE7" s="109"/>
      <c r="EF7" s="109"/>
      <c r="EG7" s="109"/>
      <c r="EH7" s="109"/>
      <c r="EI7" s="109"/>
      <c r="EJ7" s="109"/>
      <c r="EK7" s="109"/>
      <c r="EL7" s="109"/>
      <c r="EM7" s="109"/>
      <c r="EN7" s="109"/>
      <c r="EO7" s="109"/>
      <c r="EP7" s="109"/>
      <c r="EQ7" s="109"/>
      <c r="ER7" s="109"/>
      <c r="ES7" s="109"/>
      <c r="ET7" s="109"/>
      <c r="EU7" s="109"/>
      <c r="EV7" s="109"/>
      <c r="EW7" s="109"/>
      <c r="EX7" s="109"/>
      <c r="EY7" s="109"/>
      <c r="EZ7" s="109"/>
      <c r="FA7" s="109"/>
      <c r="FB7" s="109"/>
      <c r="FC7" s="109"/>
      <c r="FD7" s="109"/>
      <c r="FE7" s="109"/>
      <c r="FF7" s="109"/>
      <c r="FG7" s="109"/>
      <c r="FH7" s="109"/>
      <c r="FI7" s="109"/>
      <c r="FJ7" s="109"/>
      <c r="FK7" s="109"/>
      <c r="FL7" s="109"/>
      <c r="FM7" s="109"/>
      <c r="FN7" s="109"/>
      <c r="FO7" s="109"/>
      <c r="FP7" s="109"/>
      <c r="FQ7" s="109"/>
      <c r="FR7" s="109"/>
      <c r="FS7" s="109"/>
      <c r="FT7" s="109"/>
      <c r="FU7" s="109"/>
      <c r="FV7" s="109"/>
      <c r="FW7" s="109"/>
      <c r="FX7" s="109"/>
      <c r="FY7" s="109"/>
      <c r="FZ7" s="109"/>
      <c r="GA7" s="109"/>
      <c r="GB7" s="109"/>
      <c r="GC7" s="109"/>
      <c r="GD7" s="109"/>
      <c r="GE7" s="109"/>
      <c r="GF7" s="109"/>
      <c r="GG7" s="109"/>
      <c r="GH7" s="109"/>
      <c r="GI7" s="109"/>
      <c r="GJ7" s="109"/>
      <c r="GK7" s="109"/>
      <c r="GL7" s="109"/>
      <c r="GM7" s="109"/>
      <c r="GN7" s="109"/>
      <c r="GO7" s="109"/>
      <c r="GP7" s="109"/>
      <c r="GQ7" s="109"/>
      <c r="GR7" s="109"/>
    </row>
    <row r="8" s="107" customFormat="1" ht="15.95" customHeight="1" spans="1:200">
      <c r="A8" s="121"/>
      <c r="B8" s="121"/>
      <c r="C8" s="121"/>
      <c r="D8" s="121"/>
      <c r="E8" s="121"/>
      <c r="K8" s="121"/>
    </row>
    <row r="9" s="107" customFormat="1" ht="15.95" customHeight="1" spans="1:200">
      <c r="A9" s="121"/>
      <c r="B9" s="125"/>
      <c r="C9" s="121"/>
      <c r="D9" s="125"/>
      <c r="E9" s="125"/>
      <c r="K9" s="121"/>
    </row>
    <row r="10" s="107" customFormat="1" ht="15.95" customHeight="1" spans="1:200">
      <c r="A10" s="121"/>
      <c r="B10" s="125"/>
      <c r="C10" s="121"/>
      <c r="D10" s="125"/>
      <c r="E10" s="125"/>
      <c r="K10" s="121"/>
    </row>
    <row r="11" s="109" customFormat="1" spans="1:200">
      <c r="D11" s="126"/>
    </row>
    <row r="12" s="109" customFormat="1" spans="1:200">
      <c r="D12" s="126"/>
    </row>
    <row r="13" s="109" customFormat="1" spans="1:200">
      <c r="D13" s="126"/>
    </row>
    <row r="14" s="109" customFormat="1" spans="1:200">
      <c r="D14" s="126"/>
    </row>
  </sheetData>
  <autoFilter xmlns:etc="http://www.wps.cn/officeDocument/2017/etCustomData" ref="A6:I10" etc:filterBottomFollowUsedRange="0">
    <extLst/>
  </autoFilter>
  <mergeCells count="7">
    <mergeCell ref="A1:I1"/>
    <mergeCell ref="A2:I2"/>
    <mergeCell ref="A3:I3"/>
    <mergeCell ref="A4:D4"/>
    <mergeCell ref="F4:H4"/>
    <mergeCell ref="A5:E5"/>
    <mergeCell ref="F5:H5"/>
  </mergeCells>
  <pageMargins left="0.511805555555556" right="0.511805555555556" top="0.590277777777778" bottom="0.786805555555556" header="0.511805555555556" footer="0.15625"/>
  <pageSetup paperSize="9" orientation="portrait"/>
  <headerFooter alignWithMargins="0">
    <oddHeader>&amp;R&amp;"宋体,常规"&amp;10第 &amp;P 页共 &amp;N 页</oddHeader>
    <oddFooter>&amp;L&amp;"宋体"&amp;10编制/日期：                 校对/日期：                 审核/日期：              批准/日期：                                                                    QS/GDHX37151-A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W34"/>
  <sheetViews>
    <sheetView view="pageBreakPreview" zoomScale="55" zoomScaleNormal="100" workbookViewId="0">
      <pane ySplit="6" topLeftCell="A7" activePane="bottomLeft" state="frozen"/>
      <selection/>
      <selection pane="bottomLeft" activeCell="Q10" sqref="Q10"/>
    </sheetView>
  </sheetViews>
  <sheetFormatPr defaultColWidth="9" defaultRowHeight="14.25"/>
  <cols>
    <col min="1" max="1" width="5.625" style="6" customWidth="1"/>
    <col min="2" max="2" width="20.625" style="7" customWidth="1"/>
    <col min="3" max="3" width="10.625" style="6" customWidth="1"/>
    <col min="4" max="4" width="20.625" style="6" customWidth="1"/>
    <col min="5" max="5" width="12.625" style="8" customWidth="1"/>
    <col min="6" max="6" width="20.625" style="6" customWidth="1"/>
    <col min="7" max="7" width="12.625" style="9" customWidth="1"/>
    <col min="8" max="8" width="15.625" style="10" customWidth="1"/>
    <col min="9" max="9" width="20.625" style="11" customWidth="1"/>
    <col min="10" max="10" width="20.625" style="12" customWidth="1"/>
    <col min="11" max="11" width="15.625" style="12" customWidth="1"/>
    <col min="12" max="12" width="9" style="13" customWidth="1"/>
    <col min="13" max="13" width="11.875" style="13"/>
    <col min="14" max="21" width="9" style="13"/>
    <col min="22" max="22" width="22.3166666666667" style="13" customWidth="1"/>
    <col min="23" max="16384" width="9" style="13"/>
  </cols>
  <sheetData>
    <row r="1" ht="30" customHeight="1" spans="1:23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6"/>
      <c r="K1" s="16"/>
    </row>
    <row r="2" ht="50.1" customHeight="1" spans="1:23">
      <c r="A2" s="17" t="str">
        <f>清单封面!B2</f>
        <v>楼承板清单</v>
      </c>
      <c r="B2" s="17"/>
      <c r="C2" s="17"/>
      <c r="D2" s="17"/>
      <c r="E2" s="17"/>
      <c r="F2" s="17"/>
      <c r="G2" s="18" t="str">
        <f>清单封面!F2</f>
        <v>(含其配件)</v>
      </c>
      <c r="H2" s="18"/>
      <c r="I2" s="18"/>
      <c r="J2" s="19" t="str">
        <f>清单封面!I2</f>
        <v>版本号：</v>
      </c>
      <c r="K2" s="20" t="str">
        <f ca="1">清单封面!I4</f>
        <v>【REV0】</v>
      </c>
      <c r="L2" s="21" t="s">
        <v>57</v>
      </c>
      <c r="M2" s="22"/>
      <c r="N2" s="22"/>
      <c r="O2" s="22"/>
      <c r="P2" s="22"/>
      <c r="Q2" s="22"/>
      <c r="R2" s="22"/>
      <c r="S2" s="22"/>
      <c r="T2" s="22"/>
      <c r="U2" s="22"/>
      <c r="V2" s="23"/>
    </row>
    <row r="3" s="1" customFormat="1" ht="24.95" customHeight="1" spans="1:23">
      <c r="A3" s="24"/>
      <c r="B3" s="24"/>
      <c r="C3" s="25"/>
      <c r="D3" s="25"/>
      <c r="E3" s="25"/>
      <c r="F3" s="25"/>
      <c r="G3" s="25"/>
      <c r="H3" s="25"/>
      <c r="I3" s="25"/>
      <c r="J3" s="25"/>
      <c r="K3" s="25"/>
      <c r="L3" s="26" t="s">
        <v>58</v>
      </c>
      <c r="M3" s="26" t="s">
        <v>59</v>
      </c>
      <c r="N3" s="26" t="s">
        <v>60</v>
      </c>
      <c r="O3" s="26" t="s">
        <v>61</v>
      </c>
      <c r="P3" s="26" t="s">
        <v>62</v>
      </c>
      <c r="Q3" s="26" t="s">
        <v>63</v>
      </c>
      <c r="R3" s="26" t="s">
        <v>64</v>
      </c>
      <c r="S3" s="26" t="s">
        <v>65</v>
      </c>
      <c r="T3" s="26" t="s">
        <v>66</v>
      </c>
      <c r="U3" s="26" t="s">
        <v>67</v>
      </c>
      <c r="V3" s="27" t="s">
        <v>68</v>
      </c>
    </row>
    <row r="4" s="2" customFormat="1" ht="30" customHeight="1" spans="1:23">
      <c r="A4" s="14" t="str">
        <f>清单封面!B6</f>
        <v>工程名称：</v>
      </c>
      <c r="B4" s="14"/>
      <c r="C4" s="28" t="str">
        <f ca="1">清单封面!C6</f>
        <v>项目名称-内容简写</v>
      </c>
      <c r="D4" s="28"/>
      <c r="E4" s="28"/>
      <c r="F4" s="28"/>
      <c r="G4" s="28"/>
      <c r="H4" s="29" t="s">
        <v>69</v>
      </c>
      <c r="I4" s="29"/>
      <c r="J4" s="30">
        <f>SUM(L4:U4)</f>
        <v>1628.69</v>
      </c>
      <c r="K4" s="31" t="s">
        <v>70</v>
      </c>
      <c r="L4" s="32">
        <v>792.05</v>
      </c>
      <c r="M4" s="32">
        <v>836.64</v>
      </c>
      <c r="N4" s="32">
        <v>0</v>
      </c>
      <c r="O4" s="32">
        <v>0</v>
      </c>
      <c r="P4" s="32">
        <v>0</v>
      </c>
      <c r="Q4" s="32">
        <v>0</v>
      </c>
      <c r="R4" s="33">
        <v>0</v>
      </c>
      <c r="S4" s="33">
        <v>0</v>
      </c>
      <c r="T4" s="33">
        <v>0</v>
      </c>
      <c r="U4" s="33">
        <v>0</v>
      </c>
      <c r="V4" s="23"/>
    </row>
    <row r="5" s="2" customFormat="1" ht="30" customHeight="1" spans="1:23">
      <c r="A5" s="14" t="str">
        <f>清单封面!B7</f>
        <v>工程编号：</v>
      </c>
      <c r="B5" s="14"/>
      <c r="C5" s="34" t="str">
        <f ca="1">清单封面!C7</f>
        <v>项目编号</v>
      </c>
      <c r="D5" s="34"/>
      <c r="E5" s="34"/>
      <c r="F5" s="34"/>
      <c r="G5" s="34"/>
      <c r="H5" s="35" t="s">
        <v>16</v>
      </c>
      <c r="I5" s="29"/>
      <c r="J5" s="36" t="s">
        <v>71</v>
      </c>
      <c r="K5" s="37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="3" customFormat="1" ht="50" customHeight="1" spans="1:23">
      <c r="A6" s="38" t="s">
        <v>29</v>
      </c>
      <c r="B6" s="39" t="s">
        <v>72</v>
      </c>
      <c r="C6" s="40" t="s">
        <v>73</v>
      </c>
      <c r="D6" s="38" t="s">
        <v>48</v>
      </c>
      <c r="E6" s="38" t="s">
        <v>74</v>
      </c>
      <c r="F6" s="38" t="s">
        <v>75</v>
      </c>
      <c r="G6" s="38" t="s">
        <v>76</v>
      </c>
      <c r="H6" s="38" t="s">
        <v>77</v>
      </c>
      <c r="I6" s="41" t="s">
        <v>78</v>
      </c>
      <c r="J6" s="41" t="s">
        <v>79</v>
      </c>
      <c r="K6" s="42" t="s">
        <v>80</v>
      </c>
    </row>
    <row r="7" s="4" customFormat="1" ht="30" customHeight="1" spans="1:23">
      <c r="A7" s="43">
        <v>1</v>
      </c>
      <c r="B7" s="44" t="s">
        <v>81</v>
      </c>
      <c r="C7" s="45"/>
      <c r="D7" s="45"/>
      <c r="E7" s="45"/>
      <c r="F7" s="45"/>
      <c r="G7" s="45"/>
      <c r="H7" s="45"/>
      <c r="I7" s="45"/>
      <c r="J7" s="45"/>
      <c r="K7" s="45"/>
      <c r="L7" s="46" t="s">
        <v>82</v>
      </c>
      <c r="M7" s="47"/>
      <c r="N7" s="23"/>
      <c r="O7" s="23"/>
      <c r="P7" s="23"/>
      <c r="Q7" s="23"/>
      <c r="R7" s="23"/>
      <c r="S7" s="23"/>
      <c r="T7" s="23"/>
      <c r="U7" s="23"/>
      <c r="V7" s="23"/>
      <c r="W7" s="24"/>
    </row>
    <row r="8" s="4" customFormat="1" ht="30" customHeight="1" spans="1:23">
      <c r="A8" s="43">
        <v>2</v>
      </c>
      <c r="B8" s="48" t="s">
        <v>83</v>
      </c>
      <c r="C8" s="49">
        <v>1.2</v>
      </c>
      <c r="D8" s="50" t="s">
        <v>84</v>
      </c>
      <c r="E8" s="51" t="s">
        <v>85</v>
      </c>
      <c r="F8" s="52">
        <v>9200</v>
      </c>
      <c r="G8" s="52">
        <f>13+18</f>
        <v>31</v>
      </c>
      <c r="H8" s="53">
        <f t="shared" ref="H8:H13" si="0">F8*G8</f>
        <v>285200</v>
      </c>
      <c r="I8" s="54">
        <f t="shared" ref="I8:I13" si="1">C8*F8*L8*7850/1000000000</f>
        <v>105.643416</v>
      </c>
      <c r="J8" s="55">
        <f t="shared" ref="J8:J13" si="2">G8*I8</f>
        <v>3274.945896</v>
      </c>
      <c r="K8" s="50"/>
      <c r="L8" s="56">
        <v>1219</v>
      </c>
      <c r="M8" s="47"/>
      <c r="N8" s="23"/>
      <c r="O8" s="23"/>
      <c r="P8" s="23"/>
      <c r="Q8" s="23"/>
      <c r="R8" s="23"/>
      <c r="S8" s="23"/>
      <c r="T8" s="23"/>
      <c r="U8" s="23"/>
      <c r="V8" s="23"/>
    </row>
    <row r="9" s="4" customFormat="1" ht="30" customHeight="1" spans="1:23">
      <c r="A9" s="43">
        <v>3</v>
      </c>
      <c r="B9" s="48" t="s">
        <v>83</v>
      </c>
      <c r="C9" s="49">
        <v>1.2</v>
      </c>
      <c r="D9" s="50" t="s">
        <v>84</v>
      </c>
      <c r="E9" s="52" t="s">
        <v>86</v>
      </c>
      <c r="F9" s="52">
        <v>9100</v>
      </c>
      <c r="G9" s="52">
        <f>72+54</f>
        <v>126</v>
      </c>
      <c r="H9" s="53">
        <f t="shared" si="0"/>
        <v>1146600</v>
      </c>
      <c r="I9" s="54">
        <f t="shared" si="1"/>
        <v>104.495118</v>
      </c>
      <c r="J9" s="55">
        <f t="shared" si="2"/>
        <v>13166.384868</v>
      </c>
      <c r="K9" s="50"/>
      <c r="L9" s="56">
        <v>1219</v>
      </c>
      <c r="M9" s="47"/>
      <c r="N9" s="23"/>
      <c r="O9" s="23"/>
      <c r="P9" s="23"/>
      <c r="Q9" s="23"/>
      <c r="R9" s="23"/>
      <c r="S9" s="23"/>
      <c r="T9" s="23"/>
      <c r="U9" s="23"/>
      <c r="V9" s="23"/>
    </row>
    <row r="10" s="4" customFormat="1" ht="30" customHeight="1" spans="1:23">
      <c r="A10" s="43">
        <v>4</v>
      </c>
      <c r="B10" s="48" t="s">
        <v>83</v>
      </c>
      <c r="C10" s="49">
        <v>1.2</v>
      </c>
      <c r="D10" s="50" t="s">
        <v>84</v>
      </c>
      <c r="E10" s="52" t="s">
        <v>87</v>
      </c>
      <c r="F10" s="52">
        <v>9150</v>
      </c>
      <c r="G10" s="52">
        <v>18</v>
      </c>
      <c r="H10" s="53">
        <f t="shared" si="0"/>
        <v>164700</v>
      </c>
      <c r="I10" s="54">
        <f t="shared" si="1"/>
        <v>105.069267</v>
      </c>
      <c r="J10" s="55">
        <f t="shared" si="2"/>
        <v>1891.246806</v>
      </c>
      <c r="K10" s="50"/>
      <c r="L10" s="56">
        <v>1219</v>
      </c>
      <c r="M10" s="47"/>
      <c r="N10" s="23"/>
      <c r="O10" s="23"/>
      <c r="P10" s="23"/>
      <c r="Q10" s="23"/>
      <c r="R10" s="23"/>
      <c r="S10" s="23"/>
      <c r="T10" s="23"/>
      <c r="U10" s="23"/>
      <c r="V10" s="23"/>
    </row>
    <row r="11" s="4" customFormat="1" ht="30" customHeight="1" spans="1:23">
      <c r="A11" s="43">
        <v>5</v>
      </c>
      <c r="B11" s="48" t="s">
        <v>83</v>
      </c>
      <c r="C11" s="49">
        <v>1.2</v>
      </c>
      <c r="D11" s="50" t="s">
        <v>84</v>
      </c>
      <c r="E11" s="52" t="s">
        <v>88</v>
      </c>
      <c r="F11" s="52">
        <v>11900</v>
      </c>
      <c r="G11" s="52">
        <v>5</v>
      </c>
      <c r="H11" s="53">
        <f t="shared" si="0"/>
        <v>59500</v>
      </c>
      <c r="I11" s="54">
        <f t="shared" si="1"/>
        <v>136.647462</v>
      </c>
      <c r="J11" s="55">
        <f t="shared" si="2"/>
        <v>683.23731</v>
      </c>
      <c r="K11" s="50"/>
      <c r="L11" s="56">
        <v>1219</v>
      </c>
      <c r="M11" s="47"/>
      <c r="N11" s="23"/>
      <c r="O11" s="23"/>
      <c r="P11" s="23"/>
      <c r="Q11" s="23"/>
      <c r="R11" s="23"/>
      <c r="S11" s="23"/>
      <c r="T11" s="23"/>
      <c r="U11" s="23"/>
      <c r="V11" s="23"/>
    </row>
    <row r="12" s="4" customFormat="1" ht="30" customHeight="1" spans="1:23">
      <c r="A12" s="43">
        <v>6</v>
      </c>
      <c r="B12" s="48" t="s">
        <v>83</v>
      </c>
      <c r="C12" s="49">
        <v>1.2</v>
      </c>
      <c r="D12" s="50" t="s">
        <v>84</v>
      </c>
      <c r="E12" s="52" t="s">
        <v>89</v>
      </c>
      <c r="F12" s="52">
        <v>4650</v>
      </c>
      <c r="G12" s="52">
        <v>5</v>
      </c>
      <c r="H12" s="53">
        <f t="shared" si="0"/>
        <v>23250</v>
      </c>
      <c r="I12" s="54">
        <f t="shared" si="1"/>
        <v>53.395857</v>
      </c>
      <c r="J12" s="55">
        <f t="shared" si="2"/>
        <v>266.979285</v>
      </c>
      <c r="K12" s="50"/>
      <c r="L12" s="56">
        <v>1219</v>
      </c>
      <c r="M12" s="47"/>
      <c r="N12" s="23"/>
      <c r="O12" s="23"/>
      <c r="P12" s="23"/>
      <c r="Q12" s="23"/>
      <c r="R12" s="23"/>
      <c r="S12" s="23"/>
      <c r="T12" s="23"/>
      <c r="U12" s="23"/>
      <c r="V12" s="23"/>
    </row>
    <row r="13" s="4" customFormat="1" ht="30" customHeight="1" spans="1:23">
      <c r="A13" s="43">
        <v>7</v>
      </c>
      <c r="B13" s="48" t="s">
        <v>83</v>
      </c>
      <c r="C13" s="49">
        <v>1.2</v>
      </c>
      <c r="D13" s="50" t="s">
        <v>84</v>
      </c>
      <c r="E13" s="52" t="s">
        <v>90</v>
      </c>
      <c r="F13" s="52">
        <v>4700</v>
      </c>
      <c r="G13" s="52">
        <v>18</v>
      </c>
      <c r="H13" s="53">
        <f t="shared" si="0"/>
        <v>84600</v>
      </c>
      <c r="I13" s="54">
        <f t="shared" si="1"/>
        <v>53.970006</v>
      </c>
      <c r="J13" s="55">
        <f t="shared" si="2"/>
        <v>971.460108</v>
      </c>
      <c r="K13" s="50"/>
      <c r="L13" s="56">
        <v>1219</v>
      </c>
      <c r="M13" s="47"/>
      <c r="N13" s="57"/>
      <c r="O13" s="57"/>
      <c r="P13" s="57"/>
      <c r="Q13" s="57"/>
      <c r="R13" s="57"/>
      <c r="S13" s="57"/>
      <c r="T13" s="57"/>
      <c r="U13" s="57"/>
      <c r="V13" s="57"/>
    </row>
    <row r="14" s="4" customFormat="1" ht="30" customHeight="1" spans="1:23">
      <c r="A14" s="43">
        <v>8</v>
      </c>
      <c r="B14" s="58" t="s">
        <v>91</v>
      </c>
      <c r="C14" s="59"/>
      <c r="D14" s="59"/>
      <c r="E14" s="59"/>
      <c r="F14" s="59"/>
      <c r="G14" s="60">
        <f t="shared" ref="G14:J14" si="3">SUM(G8:G13)</f>
        <v>203</v>
      </c>
      <c r="H14" s="61">
        <f t="shared" si="3"/>
        <v>1763850</v>
      </c>
      <c r="I14" s="61"/>
      <c r="J14" s="62">
        <f t="shared" si="3"/>
        <v>20254.254273</v>
      </c>
      <c r="K14" s="60"/>
      <c r="L14" s="63" t="s">
        <v>92</v>
      </c>
      <c r="M14" s="64"/>
      <c r="N14" s="65"/>
      <c r="O14" s="65"/>
      <c r="P14" s="65"/>
      <c r="Q14" s="65"/>
      <c r="R14" s="65"/>
      <c r="S14" s="65"/>
      <c r="T14" s="65"/>
      <c r="U14" s="65"/>
      <c r="V14" s="65"/>
    </row>
    <row r="15" s="4" customFormat="1" ht="30" customHeight="1" spans="1:23">
      <c r="A15" s="43">
        <v>9</v>
      </c>
      <c r="B15" s="44" t="s">
        <v>93</v>
      </c>
      <c r="C15" s="45"/>
      <c r="D15" s="45"/>
      <c r="E15" s="45"/>
      <c r="F15" s="45"/>
      <c r="G15" s="45"/>
      <c r="H15" s="45"/>
      <c r="I15" s="45"/>
      <c r="J15" s="45"/>
      <c r="K15" s="45"/>
      <c r="L15" s="46" t="s">
        <v>94</v>
      </c>
      <c r="M15" s="66" t="s">
        <v>95</v>
      </c>
      <c r="N15" s="23"/>
      <c r="O15" s="23"/>
      <c r="P15" s="23"/>
      <c r="Q15" s="23"/>
      <c r="R15" s="23"/>
      <c r="S15" s="23"/>
      <c r="T15" s="23"/>
      <c r="U15" s="23"/>
      <c r="V15" s="23"/>
    </row>
    <row r="16" s="4" customFormat="1" ht="30" customHeight="1" spans="1:23">
      <c r="A16" s="43">
        <v>10</v>
      </c>
      <c r="B16" s="67" t="s">
        <v>96</v>
      </c>
      <c r="C16" s="68">
        <v>1.5</v>
      </c>
      <c r="D16" s="69" t="s">
        <v>97</v>
      </c>
      <c r="E16" s="52" t="s">
        <v>98</v>
      </c>
      <c r="F16" s="52">
        <f>116000+134000</f>
        <v>250000</v>
      </c>
      <c r="G16" s="70">
        <v>1</v>
      </c>
      <c r="H16" s="71">
        <f t="shared" ref="H16:H18" si="4">F16*G16</f>
        <v>250000</v>
      </c>
      <c r="I16" s="72">
        <f>C16*F16*(L16+M16)*7850/1000000000</f>
        <v>647.625</v>
      </c>
      <c r="J16" s="73">
        <f t="shared" ref="J16:J18" si="5">G16*I16</f>
        <v>647.625</v>
      </c>
      <c r="K16" s="69"/>
      <c r="L16" s="74" t="str">
        <f>LEFT(SUBSTITUTE(B16,"L型:L",""),FIND("-",SUBSTITUTE(B16,"L型:L",""))-1)</f>
        <v>120</v>
      </c>
      <c r="M16" s="75" t="str">
        <f>RIGHT(B16,LEN(B16)-FIND("-",B16))</f>
        <v>100</v>
      </c>
      <c r="N16" s="23"/>
      <c r="O16" s="23"/>
      <c r="P16" s="23"/>
      <c r="Q16" s="23"/>
      <c r="R16" s="23"/>
      <c r="S16" s="23"/>
      <c r="T16" s="23"/>
      <c r="U16" s="23"/>
      <c r="V16" s="23"/>
    </row>
    <row r="17" s="4" customFormat="1" ht="30" customHeight="1" spans="1:22">
      <c r="A17" s="43">
        <v>11</v>
      </c>
      <c r="B17" s="67" t="s">
        <v>99</v>
      </c>
      <c r="C17" s="68">
        <v>1.5</v>
      </c>
      <c r="D17" s="69" t="s">
        <v>97</v>
      </c>
      <c r="E17" s="52" t="s">
        <v>100</v>
      </c>
      <c r="F17" s="52">
        <v>20000</v>
      </c>
      <c r="G17" s="70">
        <v>1</v>
      </c>
      <c r="H17" s="71">
        <f t="shared" si="4"/>
        <v>20000</v>
      </c>
      <c r="I17" s="72">
        <f>C17*F17*(L17+M17)*7850/1000000000</f>
        <v>40.035</v>
      </c>
      <c r="J17" s="73">
        <f t="shared" si="5"/>
        <v>40.035</v>
      </c>
      <c r="K17" s="69"/>
      <c r="L17" s="74" t="str">
        <f>LEFT(SUBSTITUTE(B17,"L型:L",""),FIND("-",SUBSTITUTE(B17,"L型:L",""))-1)</f>
        <v>120</v>
      </c>
      <c r="M17" s="75" t="str">
        <f>RIGHT(B17,LEN(B17)-FIND("-",B17))</f>
        <v>50</v>
      </c>
      <c r="N17" s="23"/>
      <c r="O17" s="23"/>
      <c r="P17" s="23"/>
      <c r="Q17" s="23"/>
      <c r="R17" s="23"/>
      <c r="S17" s="23"/>
      <c r="T17" s="23"/>
      <c r="U17" s="23"/>
      <c r="V17" s="23"/>
    </row>
    <row r="18" s="4" customFormat="1" ht="30" customHeight="1" spans="1:22">
      <c r="A18" s="43">
        <v>12</v>
      </c>
      <c r="B18" s="67" t="s">
        <v>101</v>
      </c>
      <c r="C18" s="68">
        <v>1.5</v>
      </c>
      <c r="D18" s="69" t="s">
        <v>97</v>
      </c>
      <c r="E18" s="52" t="s">
        <v>102</v>
      </c>
      <c r="F18" s="52">
        <v>40000</v>
      </c>
      <c r="G18" s="70">
        <v>1</v>
      </c>
      <c r="H18" s="71">
        <f t="shared" si="4"/>
        <v>40000</v>
      </c>
      <c r="I18" s="72">
        <f>C18*F18*(L18+M18)*7850/1000000000</f>
        <v>47.1</v>
      </c>
      <c r="J18" s="73">
        <f t="shared" si="5"/>
        <v>47.1</v>
      </c>
      <c r="K18" s="69"/>
      <c r="L18" s="74" t="str">
        <f>LEFT(SUBSTITUTE(B18,"L型:L",""),FIND("-",SUBSTITUTE(B18,"L型:L",""))-1)</f>
        <v>50</v>
      </c>
      <c r="M18" s="75" t="str">
        <f>RIGHT(B18,LEN(B18)-FIND("-",B18))</f>
        <v>50</v>
      </c>
      <c r="N18" s="57"/>
      <c r="O18" s="57"/>
      <c r="P18" s="57"/>
      <c r="Q18" s="57"/>
      <c r="R18" s="57"/>
      <c r="S18" s="57"/>
      <c r="T18" s="57"/>
      <c r="U18" s="57"/>
      <c r="V18" s="57"/>
    </row>
    <row r="19" s="4" customFormat="1" ht="30" customHeight="1" spans="1:22">
      <c r="A19" s="43">
        <v>13</v>
      </c>
      <c r="B19" s="58" t="s">
        <v>91</v>
      </c>
      <c r="C19" s="59"/>
      <c r="D19" s="59"/>
      <c r="E19" s="59"/>
      <c r="F19" s="59"/>
      <c r="G19" s="60">
        <f t="shared" ref="G19:J19" si="6">SUM(G16:G18)</f>
        <v>3</v>
      </c>
      <c r="H19" s="61">
        <f t="shared" si="6"/>
        <v>310000</v>
      </c>
      <c r="I19" s="61"/>
      <c r="J19" s="62">
        <f t="shared" si="6"/>
        <v>734.76</v>
      </c>
      <c r="K19" s="60"/>
      <c r="L19" s="63" t="s">
        <v>92</v>
      </c>
      <c r="M19" s="76"/>
      <c r="N19" s="77" t="s">
        <v>103</v>
      </c>
      <c r="O19" s="77"/>
      <c r="P19" s="77"/>
      <c r="Q19" s="77"/>
      <c r="R19" s="77"/>
      <c r="S19" s="77"/>
      <c r="T19" s="77"/>
      <c r="U19" s="77"/>
      <c r="V19" s="78"/>
    </row>
    <row r="20" s="4" customFormat="1" ht="30" customHeight="1" spans="1:22">
      <c r="A20" s="43">
        <v>14</v>
      </c>
      <c r="B20" s="44" t="s">
        <v>104</v>
      </c>
      <c r="C20" s="45"/>
      <c r="D20" s="45"/>
      <c r="E20" s="45"/>
      <c r="F20" s="45"/>
      <c r="G20" s="45"/>
      <c r="H20" s="45"/>
      <c r="I20" s="45"/>
      <c r="J20" s="45"/>
      <c r="K20" s="45"/>
      <c r="L20" s="79" t="s">
        <v>58</v>
      </c>
      <c r="M20" s="79" t="s">
        <v>59</v>
      </c>
      <c r="N20" s="79" t="s">
        <v>60</v>
      </c>
      <c r="O20" s="79" t="s">
        <v>61</v>
      </c>
      <c r="P20" s="79" t="s">
        <v>62</v>
      </c>
      <c r="Q20" s="79" t="s">
        <v>63</v>
      </c>
      <c r="R20" s="79" t="s">
        <v>64</v>
      </c>
      <c r="S20" s="79" t="s">
        <v>65</v>
      </c>
      <c r="T20" s="79" t="s">
        <v>66</v>
      </c>
      <c r="U20" s="79" t="s">
        <v>67</v>
      </c>
      <c r="V20" s="27" t="s">
        <v>68</v>
      </c>
    </row>
    <row r="21" s="4" customFormat="1" ht="30" customHeight="1" spans="1:22">
      <c r="A21" s="43">
        <v>15</v>
      </c>
      <c r="B21" s="67" t="s">
        <v>105</v>
      </c>
      <c r="C21" s="210" t="s">
        <v>106</v>
      </c>
      <c r="D21" s="210" t="s">
        <v>106</v>
      </c>
      <c r="E21" s="210" t="s">
        <v>106</v>
      </c>
      <c r="F21" s="210" t="s">
        <v>106</v>
      </c>
      <c r="G21" s="80">
        <f>SUM(L21:U21)</f>
        <v>14100</v>
      </c>
      <c r="H21" s="210" t="s">
        <v>106</v>
      </c>
      <c r="I21" s="81">
        <v>0.23</v>
      </c>
      <c r="J21" s="72">
        <f>G21*I21</f>
        <v>3243</v>
      </c>
      <c r="K21" s="69"/>
      <c r="L21" s="82">
        <v>7000</v>
      </c>
      <c r="M21" s="82">
        <v>7100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3" t="s">
        <v>92</v>
      </c>
    </row>
    <row r="22" s="4" customFormat="1" ht="30" customHeight="1" spans="1:22">
      <c r="A22" s="43">
        <v>16</v>
      </c>
      <c r="B22" s="67" t="s">
        <v>107</v>
      </c>
      <c r="C22" s="210" t="s">
        <v>106</v>
      </c>
      <c r="D22" s="210" t="s">
        <v>106</v>
      </c>
      <c r="E22" s="210" t="s">
        <v>106</v>
      </c>
      <c r="F22" s="210" t="s">
        <v>106</v>
      </c>
      <c r="G22" s="80">
        <f>SUM(L22:U22)</f>
        <v>2100</v>
      </c>
      <c r="H22" s="210" t="s">
        <v>106</v>
      </c>
      <c r="I22" s="81">
        <v>0.23</v>
      </c>
      <c r="J22" s="72">
        <f>G22*I22</f>
        <v>483</v>
      </c>
      <c r="K22" s="69"/>
      <c r="L22" s="82">
        <v>1000</v>
      </c>
      <c r="M22" s="82">
        <v>1100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3" t="s">
        <v>92</v>
      </c>
    </row>
    <row r="23" s="4" customFormat="1" ht="30" customHeight="1" spans="1:22">
      <c r="A23" s="43">
        <v>17</v>
      </c>
      <c r="B23" s="67" t="s">
        <v>108</v>
      </c>
      <c r="C23" s="210" t="s">
        <v>106</v>
      </c>
      <c r="D23" s="210" t="s">
        <v>106</v>
      </c>
      <c r="E23" s="210" t="s">
        <v>106</v>
      </c>
      <c r="F23" s="210" t="s">
        <v>106</v>
      </c>
      <c r="G23" s="80">
        <v>50</v>
      </c>
      <c r="H23" s="210" t="s">
        <v>106</v>
      </c>
      <c r="I23" s="81">
        <v>0.23</v>
      </c>
      <c r="J23" s="72">
        <f>G23*I23</f>
        <v>11.5</v>
      </c>
      <c r="K23" s="69"/>
      <c r="L23" s="82">
        <v>1000</v>
      </c>
      <c r="M23" s="82">
        <v>1100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3" t="s">
        <v>92</v>
      </c>
    </row>
    <row r="24" s="4" customFormat="1" ht="30" customHeight="1" spans="1:22">
      <c r="A24" s="43">
        <v>18</v>
      </c>
      <c r="B24" s="58" t="s">
        <v>91</v>
      </c>
      <c r="C24" s="59"/>
      <c r="D24" s="59"/>
      <c r="E24" s="59"/>
      <c r="F24" s="59"/>
      <c r="G24" s="60">
        <f>SUM(G21:G23)</f>
        <v>16250</v>
      </c>
      <c r="H24" s="84"/>
      <c r="I24" s="84"/>
      <c r="J24" s="85">
        <f>SUM(J21:J23)</f>
        <v>3737.5</v>
      </c>
      <c r="K24" s="86"/>
      <c r="L24" s="87"/>
      <c r="M24" s="87"/>
      <c r="N24" s="87"/>
      <c r="O24" s="87"/>
      <c r="P24" s="87"/>
    </row>
    <row r="25" s="5" customFormat="1" ht="30" customHeight="1" spans="1:22">
      <c r="A25" s="88"/>
      <c r="B25" s="89"/>
      <c r="C25" s="88"/>
      <c r="D25" s="88"/>
      <c r="E25" s="90"/>
      <c r="F25" s="91"/>
      <c r="G25" s="92"/>
      <c r="H25" s="93"/>
      <c r="I25" s="94" t="s">
        <v>109</v>
      </c>
      <c r="J25" s="95">
        <f>J14+J19+J24</f>
        <v>24726.514273</v>
      </c>
      <c r="K25" s="96" t="s">
        <v>110</v>
      </c>
      <c r="L25" s="97" t="s">
        <v>92</v>
      </c>
    </row>
    <row r="26" ht="30" customHeight="1" spans="1:22">
      <c r="B26" s="98"/>
      <c r="C26" s="99"/>
      <c r="D26" s="99"/>
      <c r="E26" s="100"/>
      <c r="F26" s="99"/>
      <c r="G26" s="101"/>
      <c r="H26" s="102"/>
      <c r="I26" s="103"/>
      <c r="J26" s="104"/>
      <c r="K26" s="104"/>
    </row>
    <row r="27" ht="30" customHeight="1" spans="1:22">
      <c r="B27" s="98"/>
      <c r="C27" s="99"/>
      <c r="D27" s="99"/>
      <c r="E27" s="100"/>
      <c r="F27" s="99"/>
      <c r="G27" s="101"/>
      <c r="H27" s="102"/>
      <c r="I27" s="103"/>
      <c r="J27" s="104"/>
      <c r="K27" s="104"/>
    </row>
    <row r="28" ht="30" customHeight="1" spans="1:22">
      <c r="B28" s="98"/>
      <c r="C28" s="99"/>
      <c r="D28" s="99"/>
      <c r="E28" s="100"/>
      <c r="F28" s="99"/>
      <c r="G28" s="101"/>
      <c r="H28" s="102"/>
      <c r="I28" s="103"/>
      <c r="J28" s="104"/>
      <c r="K28" s="104"/>
    </row>
    <row r="29" ht="30" customHeight="1" spans="1:22">
      <c r="B29" s="98"/>
      <c r="C29" s="99"/>
      <c r="D29" s="99"/>
      <c r="E29" s="100"/>
      <c r="F29" s="99"/>
      <c r="G29" s="101"/>
      <c r="H29" s="102"/>
      <c r="I29" s="103"/>
      <c r="J29" s="104"/>
      <c r="K29" s="104"/>
    </row>
    <row r="30" ht="30" customHeight="1" spans="1:22">
      <c r="B30" s="98"/>
      <c r="C30" s="99"/>
      <c r="D30" s="99"/>
      <c r="E30" s="100"/>
      <c r="F30" s="99"/>
      <c r="G30" s="101"/>
      <c r="H30" s="102"/>
      <c r="I30" s="103"/>
      <c r="J30" s="104"/>
      <c r="K30" s="104"/>
    </row>
    <row r="31" ht="30" customHeight="1" spans="1:22">
      <c r="B31" s="98"/>
      <c r="C31" s="99"/>
      <c r="D31" s="99"/>
      <c r="E31" s="100"/>
      <c r="F31" s="99"/>
      <c r="G31" s="101"/>
      <c r="H31" s="102"/>
      <c r="I31" s="103"/>
      <c r="J31" s="104"/>
      <c r="K31" s="104"/>
    </row>
    <row r="32" ht="30" customHeight="1" spans="1:22">
      <c r="B32" s="98"/>
      <c r="C32" s="99"/>
      <c r="D32" s="99"/>
      <c r="E32" s="100"/>
      <c r="F32" s="99"/>
      <c r="G32" s="101"/>
      <c r="H32" s="102"/>
      <c r="I32" s="103"/>
      <c r="J32" s="104"/>
      <c r="K32" s="104"/>
    </row>
    <row r="33" ht="30" customHeight="1" spans="2:11">
      <c r="B33" s="98"/>
      <c r="C33" s="99"/>
      <c r="D33" s="99"/>
      <c r="E33" s="100"/>
      <c r="F33" s="99"/>
      <c r="G33" s="101"/>
      <c r="H33" s="102"/>
      <c r="I33" s="103"/>
      <c r="J33" s="104"/>
      <c r="K33" s="104"/>
    </row>
    <row r="34" ht="30" customHeight="1" spans="2:11">
      <c r="B34" s="98"/>
      <c r="C34" s="99"/>
      <c r="D34" s="99"/>
      <c r="E34" s="100"/>
      <c r="F34" s="99"/>
      <c r="G34" s="101"/>
      <c r="H34" s="102"/>
      <c r="I34" s="103"/>
      <c r="J34" s="104"/>
      <c r="K34" s="104"/>
    </row>
  </sheetData>
  <mergeCells count="19">
    <mergeCell ref="A1:K1"/>
    <mergeCell ref="A2:F2"/>
    <mergeCell ref="G2:I2"/>
    <mergeCell ref="L2:U2"/>
    <mergeCell ref="A3:B3"/>
    <mergeCell ref="C3:K3"/>
    <mergeCell ref="A4:B4"/>
    <mergeCell ref="C4:G4"/>
    <mergeCell ref="H4:I4"/>
    <mergeCell ref="A5:B5"/>
    <mergeCell ref="C5:G5"/>
    <mergeCell ref="H5:I5"/>
    <mergeCell ref="B7:K7"/>
    <mergeCell ref="B14:F14"/>
    <mergeCell ref="B15:K15"/>
    <mergeCell ref="B19:F19"/>
    <mergeCell ref="N19:U19"/>
    <mergeCell ref="B20:K20"/>
    <mergeCell ref="B24:F24"/>
  </mergeCells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www.liangli.net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清单封面</vt:lpstr>
      <vt:lpstr>备料清单</vt:lpstr>
      <vt:lpstr>明细清单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模板2</dc:title>
  <dc:creator>江增锋</dc:creator>
  <cp:lastModifiedBy>Black Lee</cp:lastModifiedBy>
  <dcterms:created xsi:type="dcterms:W3CDTF">2006-10-24T05:29:00Z</dcterms:created>
  <cp:lastPrinted>2024-12-01T23:33:00Z</cp:lastPrinted>
  <dcterms:modified xsi:type="dcterms:W3CDTF">2026-02-15T02:08:40Z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12ECD483853D4897A160054688EAEF26</vt:lpwstr>
  </property>
  <property fmtid="{D5CDD505-2E9C-101B-9397-08002B2CF9AE}" pid="5" name="CalculationRule">
    <vt:i4>0</vt:i4>
  </property>
</Properties>
</file>