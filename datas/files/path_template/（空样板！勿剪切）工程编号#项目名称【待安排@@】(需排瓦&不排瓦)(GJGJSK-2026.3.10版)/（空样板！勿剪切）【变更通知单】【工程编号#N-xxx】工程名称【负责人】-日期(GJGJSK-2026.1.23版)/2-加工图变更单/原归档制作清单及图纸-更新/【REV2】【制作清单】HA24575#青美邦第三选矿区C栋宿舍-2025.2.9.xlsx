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tabRatio="749"/>
  </bookViews>
  <sheets>
    <sheet name="清单封面" sheetId="36" r:id="rId1"/>
    <sheet name="备料清单" sheetId="30" state="hidden" r:id="rId2"/>
    <sheet name="结算清单(总构件清单)" sheetId="59" r:id="rId3"/>
    <sheet name="构件清单-1（普通构件）" sheetId="90" r:id="rId4"/>
    <sheet name="构件清单-2（外购材料构件）" sheetId="89" r:id="rId5"/>
    <sheet name="构件清单-3（箱型构件）" sheetId="92" r:id="rId6"/>
    <sheet name="构件清单-4（钢梯&amp;栏杆）" sheetId="88" r:id="rId7"/>
    <sheet name="构件清单-5（檩条&amp;拉条）" sheetId="87" r:id="rId8"/>
    <sheet name="零件清单" sheetId="91" r:id="rId9"/>
    <sheet name="组立清单" sheetId="93" r:id="rId10"/>
    <sheet name="排板清单" sheetId="94" r:id="rId11"/>
  </sheets>
  <definedNames>
    <definedName name="_xlnm._FilterDatabase" localSheetId="1" hidden="1">备料清单!$A$6:$I$10</definedName>
    <definedName name="_xlnm._FilterDatabase" localSheetId="2" hidden="1">'结算清单(总构件清单)'!$B$6:$L$402</definedName>
    <definedName name="_xlnm._FilterDatabase" localSheetId="8" hidden="1">零件清单!$C$6:$L$214</definedName>
    <definedName name="_xlnm._FilterDatabase" localSheetId="3" hidden="1">'构件清单-1（普通构件）'!$A$6:$L$302</definedName>
    <definedName name="_xlnm._FilterDatabase" localSheetId="4" hidden="1">'构件清单-2（外购材料构件）'!$A$6:$L$30</definedName>
    <definedName name="_xlnm._FilterDatabase" localSheetId="5" hidden="1">'构件清单-3（箱型构件）'!$A$6:$L$41</definedName>
    <definedName name="_xlnm._FilterDatabase" localSheetId="6" hidden="1">'构件清单-4（钢梯&amp;栏杆）'!$A$6:$L$80</definedName>
    <definedName name="_xlnm._FilterDatabase" localSheetId="7" hidden="1">'构件清单-5（檩条&amp;拉条）'!$A$6:$L$41</definedName>
    <definedName name="_xlnm._FilterDatabase" localSheetId="10" hidden="1">排板清单!$C$6:$I$38</definedName>
    <definedName name="_xlnm._FilterDatabase" localSheetId="0" hidden="1">清单封面!$A$21:$J$30</definedName>
    <definedName name="_xlnm._FilterDatabase" localSheetId="9" hidden="1">组立清单!$C$6:$J$104</definedName>
    <definedName name="_xlnm.Criteria" localSheetId="3">'构件清单-1（普通构件）'!$D$6:$D$6</definedName>
    <definedName name="_xlnm.Criteria" localSheetId="4">'构件清单-2（外购材料构件）'!$D$6:$D$6</definedName>
    <definedName name="_xlnm.Criteria" localSheetId="5">'构件清单-3（箱型构件）'!$D$6:$D$6</definedName>
    <definedName name="_xlnm.Criteria" localSheetId="6">'构件清单-4（钢梯&amp;栏杆）'!$D$6:$D$6</definedName>
    <definedName name="_xlnm.Criteria" localSheetId="7">'构件清单-5（檩条&amp;拉条）'!$D$6:$D$6</definedName>
    <definedName name="_xlnm.Criteria" localSheetId="2">'结算清单(总构件清单)'!$D$6:$D$6</definedName>
    <definedName name="_xlnm.Criteria" localSheetId="8">零件清单!$D$6:$D$6</definedName>
    <definedName name="_xlnm.Criteria" localSheetId="10">排板清单!$C$6:$C$6</definedName>
    <definedName name="_xlnm.Criteria" localSheetId="9">组立清单!$D$6:$D$6</definedName>
    <definedName name="_xlnm.Extract" localSheetId="3">'构件清单-1（普通构件）'!#REF!</definedName>
    <definedName name="_xlnm.Extract" localSheetId="4">'构件清单-2（外购材料构件）'!#REF!</definedName>
    <definedName name="_xlnm.Extract" localSheetId="5">'构件清单-3（箱型构件）'!#REF!</definedName>
    <definedName name="_xlnm.Extract" localSheetId="6">'构件清单-4（钢梯&amp;栏杆）'!#REF!</definedName>
    <definedName name="_xlnm.Extract" localSheetId="7">'构件清单-5（檩条&amp;拉条）'!#REF!</definedName>
    <definedName name="_xlnm.Extract" localSheetId="2">'结算清单(总构件清单)'!#REF!</definedName>
    <definedName name="_xlnm.Extract" localSheetId="8">零件清单!#REF!</definedName>
    <definedName name="_xlnm.Extract" localSheetId="10">排板清单!#REF!</definedName>
    <definedName name="_xlnm.Extract" localSheetId="9">组立清单!#REF!</definedName>
    <definedName name="_xlnm.Print_Area" localSheetId="1">备料清单!$A$1:$I$7</definedName>
    <definedName name="_xlnm.Print_Area" localSheetId="3">'构件清单-1（普通构件）'!$A$1:$L$328</definedName>
    <definedName name="_xlnm.Print_Area" localSheetId="4">'构件清单-2（外购材料构件）'!$A$1:$L$32</definedName>
    <definedName name="_xlnm.Print_Area" localSheetId="5">'构件清单-3（箱型构件）'!$A$1:$L$43</definedName>
    <definedName name="_xlnm.Print_Area" localSheetId="6">'构件清单-4（钢梯&amp;栏杆）'!$A$1:$L$84</definedName>
    <definedName name="_xlnm.Print_Area" localSheetId="7">'构件清单-5（檩条&amp;拉条）'!$A$1:$L$43</definedName>
    <definedName name="_xlnm.Print_Area" localSheetId="2">'结算清单(总构件清单)'!$A$1:$L$402</definedName>
    <definedName name="_xlnm.Print_Area" localSheetId="8">零件清单!$A$1:$L$215</definedName>
    <definedName name="_xlnm.Print_Area" localSheetId="10">排板清单!$A$1:$I$123</definedName>
    <definedName name="_xlnm.Print_Area" localSheetId="0">清单封面!$A$1:$K$30</definedName>
    <definedName name="_xlnm.Print_Area" localSheetId="9">组立清单!$A$1:$J$105</definedName>
    <definedName name="_xlnm.Print_Titles" localSheetId="3">'构件清单-1（普通构件）'!$1:$6</definedName>
    <definedName name="_xlnm.Print_Titles" localSheetId="4">'构件清单-2（外购材料构件）'!$1:$6</definedName>
    <definedName name="_xlnm.Print_Titles" localSheetId="5">'构件清单-3（箱型构件）'!$1:$6</definedName>
    <definedName name="_xlnm.Print_Titles" localSheetId="6">'构件清单-4（钢梯&amp;栏杆）'!$1:$6</definedName>
    <definedName name="_xlnm.Print_Titles" localSheetId="7">'构件清单-5（檩条&amp;拉条）'!$1:$6</definedName>
    <definedName name="_xlnm.Print_Titles" localSheetId="2">'结算清单(总构件清单)'!$1:$6</definedName>
    <definedName name="_xlnm.Print_Titles" localSheetId="8">零件清单!$1:$6</definedName>
    <definedName name="_xlnm.Print_Titles" localSheetId="10">排板清单!$1:$6</definedName>
    <definedName name="_xlnm.Print_Titles" localSheetId="0">清单封面!$1:$19</definedName>
    <definedName name="_xlnm.Print_Titles" localSheetId="9">组立清单!$1:$6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<sst xmlns="http://schemas.openxmlformats.org/spreadsheetml/2006/main" count="4416" uniqueCount="915">
  <si>
    <t>CSP卓越维保有限公司</t>
  </si>
  <si>
    <t>表内红色字体处为封面需输入内容，其他各清单对应与封面自动连接，连接如下表：</t>
  </si>
  <si>
    <r>
      <rPr>
        <b/>
        <sz val="26"/>
        <rFont val="宋体"/>
        <charset val="134"/>
        <scheme val="major"/>
      </rPr>
      <t xml:space="preserve">制 </t>
    </r>
    <r>
      <rPr>
        <b/>
        <sz val="26"/>
        <rFont val="宋体"/>
        <charset val="134"/>
        <scheme val="major"/>
      </rPr>
      <t xml:space="preserve"> </t>
    </r>
    <r>
      <rPr>
        <b/>
        <sz val="26"/>
        <rFont val="宋体"/>
        <charset val="134"/>
        <scheme val="major"/>
      </rPr>
      <t>作 清 单</t>
    </r>
  </si>
  <si>
    <t>工程名称：</t>
  </si>
  <si>
    <t>自动连接</t>
  </si>
  <si>
    <t>工程编号：</t>
  </si>
  <si>
    <t>油漆分类做法：</t>
  </si>
  <si>
    <t>（手动输入）</t>
  </si>
  <si>
    <t>工 程 名 称：</t>
  </si>
  <si>
    <t>第三选矿区C栋宿舍</t>
  </si>
  <si>
    <t>工 程 编 号：</t>
  </si>
  <si>
    <t>HA24575</t>
  </si>
  <si>
    <t>清单组成：</t>
  </si>
  <si>
    <t>序号</t>
  </si>
  <si>
    <t>分类</t>
  </si>
  <si>
    <t>清单名称</t>
  </si>
  <si>
    <t>备注</t>
  </si>
  <si>
    <t>重量kg</t>
  </si>
  <si>
    <t>各清单工程编号代码</t>
  </si>
  <si>
    <t>是否有</t>
  </si>
  <si>
    <t>总构件清单</t>
  </si>
  <si>
    <t>结算清单</t>
  </si>
  <si>
    <t>(总构件清单)</t>
  </si>
  <si>
    <t>√</t>
  </si>
  <si>
    <t xml:space="preserve"> </t>
  </si>
  <si>
    <t>构件清单（分类）</t>
  </si>
  <si>
    <t>构件清单-1</t>
  </si>
  <si>
    <t>(普通构件)</t>
  </si>
  <si>
    <t>构件清单-2</t>
  </si>
  <si>
    <t>(外购材料构件)</t>
  </si>
  <si>
    <t>×</t>
  </si>
  <si>
    <t>构件清单-3</t>
  </si>
  <si>
    <t>(箱型构件)</t>
  </si>
  <si>
    <t>构件清单-4</t>
  </si>
  <si>
    <t>(钢梯&amp;栏杆)</t>
  </si>
  <si>
    <t>构件清单-5</t>
  </si>
  <si>
    <t>(檩条&amp;拉条)</t>
  </si>
  <si>
    <t>小件下料</t>
  </si>
  <si>
    <t>零件清单</t>
  </si>
  <si>
    <r>
      <rPr>
        <sz val="14"/>
        <rFont val="宋体"/>
        <charset val="134"/>
        <scheme val="major"/>
      </rPr>
      <t>(仅小板件</t>
    </r>
    <r>
      <rPr>
        <sz val="14"/>
        <rFont val="宋体"/>
        <charset val="134"/>
        <scheme val="major"/>
      </rPr>
      <t>)</t>
    </r>
  </si>
  <si>
    <t>型钢组立</t>
  </si>
  <si>
    <t>组立清单</t>
  </si>
  <si>
    <r>
      <rPr>
        <sz val="14"/>
        <rFont val="宋体"/>
        <charset val="134"/>
        <scheme val="major"/>
      </rPr>
      <t>(仅型钢翼、腹板</t>
    </r>
    <r>
      <rPr>
        <sz val="14"/>
        <rFont val="宋体"/>
        <charset val="134"/>
        <scheme val="major"/>
      </rPr>
      <t>)</t>
    </r>
  </si>
  <si>
    <t>大板下料</t>
  </si>
  <si>
    <t>排版清单</t>
  </si>
  <si>
    <t>(仅型钢翼、腹板，未加余量)</t>
  </si>
  <si>
    <t>其他油漆备用文字</t>
  </si>
  <si>
    <t xml:space="preserve">主结构 </t>
  </si>
  <si>
    <t>1.[底漆]:规格:环氧富锌，颜色:浅灰色，厚度:70u/遍，涂刷遍数:2遍，含锌量不低于80%
2.[面漆]:规格:脂肪族聚氨酯，颜色: 中灰色，厚度:70u/遍，涂刷遍数:2遍.
干膜油漆总厚度≥125μ。</t>
  </si>
  <si>
    <r>
      <rPr>
        <sz val="16"/>
        <rFont val="宋体"/>
        <charset val="134"/>
        <scheme val="major"/>
      </rPr>
      <t>油漆标准1</t>
    </r>
    <r>
      <rPr>
        <sz val="16"/>
        <color rgb="FFFF0000"/>
        <rFont val="宋体"/>
        <charset val="134"/>
        <scheme val="major"/>
      </rPr>
      <t>（环氧+聚氨酯）</t>
    </r>
    <r>
      <rPr>
        <sz val="16"/>
        <rFont val="宋体"/>
        <charset val="134"/>
        <scheme val="major"/>
      </rPr>
      <t>：</t>
    </r>
  </si>
  <si>
    <r>
      <rPr>
        <sz val="16"/>
        <color theme="1"/>
        <rFont val="宋体"/>
        <charset val="134"/>
        <scheme val="major"/>
      </rPr>
      <t>1.[底漆]：环氧富锌, 颜色：浅灰色，涂刷2遍(35μ/遍)，厚度共计：70μm；                
2.[中漆]：环氧云铁, 颜色：浅灰色，涂刷3遍(35μ/遍)，厚度共计：110μm；
3.[面漆]：</t>
    </r>
    <r>
      <rPr>
        <sz val="16"/>
        <color rgb="FFFF0000"/>
        <rFont val="宋体"/>
        <charset val="134"/>
        <scheme val="major"/>
      </rPr>
      <t>脂肪族聚氨酯，</t>
    </r>
    <r>
      <rPr>
        <sz val="16"/>
        <color theme="1"/>
        <rFont val="宋体"/>
        <charset val="134"/>
        <scheme val="major"/>
      </rPr>
      <t>颜色：</t>
    </r>
    <r>
      <rPr>
        <sz val="16"/>
        <color rgb="FFFF0000"/>
        <rFont val="宋体"/>
        <charset val="134"/>
        <scheme val="major"/>
      </rPr>
      <t>中灰色(色号B02)/海蓝色(色号PB05)/淡黄色(色号Y06)</t>
    </r>
    <r>
      <rPr>
        <sz val="16"/>
        <color theme="1"/>
        <rFont val="宋体"/>
        <charset val="134"/>
        <scheme val="major"/>
      </rPr>
      <t>，涂刷3遍，厚度共计：100μm；
4.干膜总厚度≥280μm。</t>
    </r>
  </si>
  <si>
    <t>淡黄色(色号Y06)常用于栏杆</t>
  </si>
  <si>
    <t>钢梯、栏杆</t>
  </si>
  <si>
    <t>1.铁红醇酸底漆75μ（两遍）醇酸2.白色醇酸面漆两遍75μ</t>
  </si>
  <si>
    <r>
      <rPr>
        <sz val="16"/>
        <rFont val="宋体"/>
        <charset val="134"/>
        <scheme val="major"/>
      </rPr>
      <t>油漆标准2</t>
    </r>
    <r>
      <rPr>
        <sz val="16"/>
        <color rgb="FFFF0000"/>
        <rFont val="宋体"/>
        <charset val="134"/>
        <scheme val="major"/>
      </rPr>
      <t>（环氧+氯化橡胶）</t>
    </r>
    <r>
      <rPr>
        <sz val="16"/>
        <rFont val="宋体"/>
        <charset val="134"/>
        <scheme val="major"/>
      </rPr>
      <t>：</t>
    </r>
  </si>
  <si>
    <r>
      <rPr>
        <sz val="16"/>
        <color theme="1"/>
        <rFont val="宋体"/>
        <charset val="134"/>
        <scheme val="major"/>
      </rPr>
      <t>1.[底漆]：环氧富锌，颜色：浅灰色，涂刷1遍(45μ/遍),厚度共计：45μm ；
2.[中漆]：环氧云铁，颜色：浅灰色，涂刷2遍(45μ/遍),厚度共计：90μm；
3.[面漆]：</t>
    </r>
    <r>
      <rPr>
        <sz val="16"/>
        <color rgb="FFFF0000"/>
        <rFont val="宋体"/>
        <charset val="134"/>
        <scheme val="major"/>
      </rPr>
      <t>氯化橡胶，</t>
    </r>
    <r>
      <rPr>
        <sz val="16"/>
        <color theme="1"/>
        <rFont val="宋体"/>
        <charset val="134"/>
        <scheme val="major"/>
      </rPr>
      <t>颜色：</t>
    </r>
    <r>
      <rPr>
        <sz val="16"/>
        <color rgb="FFFF0000"/>
        <rFont val="宋体"/>
        <charset val="134"/>
        <scheme val="major"/>
      </rPr>
      <t>灰色(色号RAL7037)</t>
    </r>
    <r>
      <rPr>
        <sz val="16"/>
        <color theme="1"/>
        <rFont val="宋体"/>
        <charset val="134"/>
        <scheme val="major"/>
      </rPr>
      <t>，涂刷2遍(45μ/遍),厚度共计：90μm；
4.干膜油漆总厚度≥240μm。</t>
    </r>
  </si>
  <si>
    <t>其他特殊构件</t>
  </si>
  <si>
    <t>【材料问题】
C150*75*6.5材料为甲供，用于平台梁和钢梯，其中钢梯所用。C150*75*6.5的材料重量已体现在清单的备注栏。</t>
  </si>
  <si>
    <r>
      <rPr>
        <sz val="16"/>
        <rFont val="宋体"/>
        <charset val="134"/>
        <scheme val="major"/>
      </rPr>
      <t>油漆标准3</t>
    </r>
    <r>
      <rPr>
        <sz val="16"/>
        <color rgb="FFFF0000"/>
        <rFont val="宋体"/>
        <charset val="134"/>
        <scheme val="major"/>
      </rPr>
      <t>（醇酸）</t>
    </r>
    <r>
      <rPr>
        <sz val="16"/>
        <rFont val="宋体"/>
        <charset val="134"/>
        <scheme val="major"/>
      </rPr>
      <t>：</t>
    </r>
  </si>
  <si>
    <r>
      <rPr>
        <sz val="16"/>
        <color theme="1"/>
        <rFont val="宋体"/>
        <charset val="134"/>
        <scheme val="major"/>
      </rPr>
      <t>1.[底漆]：醇酸，颜色：红丹，涂刷2遍(35μ/遍),厚度共计：70μm；
2.[面漆]：</t>
    </r>
    <r>
      <rPr>
        <sz val="16"/>
        <color rgb="FFFF0000"/>
        <rFont val="宋体"/>
        <charset val="134"/>
        <scheme val="major"/>
      </rPr>
      <t>醇酸，</t>
    </r>
    <r>
      <rPr>
        <sz val="16"/>
        <color theme="1"/>
        <rFont val="宋体"/>
        <charset val="134"/>
        <scheme val="major"/>
      </rPr>
      <t>颜色：</t>
    </r>
    <r>
      <rPr>
        <sz val="16"/>
        <color rgb="FFFF0000"/>
        <rFont val="宋体"/>
        <charset val="134"/>
        <scheme val="major"/>
      </rPr>
      <t>中灰/中黄色/白色</t>
    </r>
    <r>
      <rPr>
        <sz val="16"/>
        <color theme="1"/>
        <rFont val="宋体"/>
        <charset val="134"/>
        <scheme val="major"/>
      </rPr>
      <t>，涂刷2遍(35μ/遍),厚度共计：70μm；
3.干膜油漆总厚度≥125μm。</t>
    </r>
  </si>
  <si>
    <t>中黄色/白色常用于栏杆</t>
  </si>
  <si>
    <t xml:space="preserve">            </t>
  </si>
  <si>
    <t>编 制 人：</t>
  </si>
  <si>
    <t>组立、排版人：</t>
  </si>
  <si>
    <t>校 对 人：</t>
  </si>
  <si>
    <t>审 核 人：</t>
  </si>
  <si>
    <t>时    间：</t>
  </si>
  <si>
    <t>钢结构技术科</t>
  </si>
  <si>
    <r>
      <rPr>
        <b/>
        <sz val="18"/>
        <rFont val="Swis721 Cn BT"/>
        <charset val="134"/>
      </rPr>
      <t xml:space="preserve">         </t>
    </r>
    <r>
      <rPr>
        <b/>
        <sz val="18"/>
        <rFont val="华文中宋"/>
        <charset val="134"/>
      </rPr>
      <t>备</t>
    </r>
    <r>
      <rPr>
        <b/>
        <sz val="18"/>
        <rFont val="Swis721 Cn BT"/>
        <charset val="134"/>
      </rPr>
      <t xml:space="preserve">  </t>
    </r>
    <r>
      <rPr>
        <b/>
        <sz val="18"/>
        <rFont val="华文中宋"/>
        <charset val="134"/>
      </rPr>
      <t>料</t>
    </r>
    <r>
      <rPr>
        <b/>
        <sz val="18"/>
        <rFont val="Swis721 Cn BT"/>
        <charset val="134"/>
      </rPr>
      <t xml:space="preserve">  </t>
    </r>
    <r>
      <rPr>
        <b/>
        <sz val="18"/>
        <rFont val="华文中宋"/>
        <charset val="134"/>
      </rPr>
      <t>清</t>
    </r>
    <r>
      <rPr>
        <b/>
        <sz val="18"/>
        <rFont val="Swis721 Cn BT"/>
        <charset val="134"/>
      </rPr>
      <t xml:space="preserve">  </t>
    </r>
    <r>
      <rPr>
        <b/>
        <sz val="18"/>
        <rFont val="华文中宋"/>
        <charset val="134"/>
      </rPr>
      <t>单</t>
    </r>
    <r>
      <rPr>
        <b/>
        <sz val="18"/>
        <rFont val="Swis721 Cn BT"/>
        <charset val="134"/>
      </rPr>
      <t xml:space="preserve">  </t>
    </r>
  </si>
  <si>
    <t>材料名称</t>
  </si>
  <si>
    <t>材料规格</t>
  </si>
  <si>
    <t>单位</t>
  </si>
  <si>
    <t>数量</t>
  </si>
  <si>
    <t>材质</t>
  </si>
  <si>
    <t>库存</t>
  </si>
  <si>
    <t>供货厂家</t>
  </si>
  <si>
    <t>金额合计</t>
  </si>
  <si>
    <r>
      <rPr>
        <b/>
        <sz val="10"/>
        <rFont val="Swis721 Cn BT"/>
        <charset val="134"/>
      </rPr>
      <t>备注</t>
    </r>
    <r>
      <rPr>
        <b/>
        <sz val="10"/>
        <rFont val="Swis721 Cn BT"/>
        <charset val="134"/>
      </rPr>
      <t>/</t>
    </r>
    <r>
      <rPr>
        <b/>
        <sz val="10"/>
        <rFont val="宋体"/>
        <charset val="134"/>
      </rPr>
      <t>长度（</t>
    </r>
    <r>
      <rPr>
        <b/>
        <sz val="10"/>
        <rFont val="Swis721 Cn BT"/>
        <charset val="134"/>
      </rPr>
      <t>M</t>
    </r>
    <r>
      <rPr>
        <b/>
        <sz val="10"/>
        <rFont val="宋体"/>
        <charset val="134"/>
      </rPr>
      <t>）</t>
    </r>
  </si>
  <si>
    <t>栓钉</t>
  </si>
  <si>
    <t>D19X110</t>
  </si>
  <si>
    <t>颗</t>
  </si>
  <si>
    <t>配磁环</t>
  </si>
  <si>
    <t>构件名称</t>
  </si>
  <si>
    <t>构件编号</t>
  </si>
  <si>
    <t>规格</t>
  </si>
  <si>
    <t>长度mm</t>
  </si>
  <si>
    <t>单重Kg</t>
  </si>
  <si>
    <t>总重Kg</t>
  </si>
  <si>
    <t>单件面积㎡</t>
  </si>
  <si>
    <t>总面积㎡</t>
  </si>
  <si>
    <t>钢次梁</t>
  </si>
  <si>
    <t>GCL1-1</t>
  </si>
  <si>
    <t>HI650-14-20*300</t>
  </si>
  <si>
    <t>Q355B</t>
  </si>
  <si>
    <t>GCL1-2</t>
  </si>
  <si>
    <t>GCL1-3</t>
  </si>
  <si>
    <t>GCL1-4</t>
  </si>
  <si>
    <t>GCL1-5</t>
  </si>
  <si>
    <t>GCL1-6</t>
  </si>
  <si>
    <t>GCL1-7</t>
  </si>
  <si>
    <t>GCL1-8</t>
  </si>
  <si>
    <t>GCL1-9</t>
  </si>
  <si>
    <t>GCL1-10</t>
  </si>
  <si>
    <t>GCL1-11</t>
  </si>
  <si>
    <t>HI300-8-10*200</t>
  </si>
  <si>
    <t>GCL1-12</t>
  </si>
  <si>
    <t>GCL1-13</t>
  </si>
  <si>
    <t>GCL1-14</t>
  </si>
  <si>
    <t>GCL1-15</t>
  </si>
  <si>
    <t>HI200-8-12*200</t>
  </si>
  <si>
    <t>GCL1-16</t>
  </si>
  <si>
    <t>GCL1-17</t>
  </si>
  <si>
    <t>GCL1-18</t>
  </si>
  <si>
    <t>GCL1-19</t>
  </si>
  <si>
    <t>GCL1-20</t>
  </si>
  <si>
    <t>GCL1-21</t>
  </si>
  <si>
    <t>GCL2-1</t>
  </si>
  <si>
    <t>HI600-12-20*200</t>
  </si>
  <si>
    <t>GCL2-2</t>
  </si>
  <si>
    <t>GCL2-3</t>
  </si>
  <si>
    <t>GCL2-4</t>
  </si>
  <si>
    <t>GCL2-5</t>
  </si>
  <si>
    <t>GCL2-6</t>
  </si>
  <si>
    <t>GCL2-7</t>
  </si>
  <si>
    <t>GCL2-8</t>
  </si>
  <si>
    <t>GCL2-9</t>
  </si>
  <si>
    <t>GCL2-10</t>
  </si>
  <si>
    <t>GCL2-11</t>
  </si>
  <si>
    <t>GCL2-12</t>
  </si>
  <si>
    <t>GCL2-13</t>
  </si>
  <si>
    <t>GCL3-1</t>
  </si>
  <si>
    <t>GCL3-2</t>
  </si>
  <si>
    <t>GCL3-3</t>
  </si>
  <si>
    <t>GCL3-4</t>
  </si>
  <si>
    <t>GCL3-5</t>
  </si>
  <si>
    <t>GCL3-6</t>
  </si>
  <si>
    <t>GCL3-7</t>
  </si>
  <si>
    <t>HI250-10-14*250</t>
  </si>
  <si>
    <t>GCL3-8</t>
  </si>
  <si>
    <t>GCL3-9</t>
  </si>
  <si>
    <t>GCL3-10</t>
  </si>
  <si>
    <t>GCL4-1</t>
  </si>
  <si>
    <t>HI500-10-16*200</t>
  </si>
  <si>
    <t>GCL4-2</t>
  </si>
  <si>
    <t>GCL4-3</t>
  </si>
  <si>
    <t>GCL4-4</t>
  </si>
  <si>
    <t>钢梁</t>
  </si>
  <si>
    <t>GL-1</t>
  </si>
  <si>
    <t>GL-2</t>
  </si>
  <si>
    <t>GL-3</t>
  </si>
  <si>
    <t>GL-4</t>
  </si>
  <si>
    <t>GL-5</t>
  </si>
  <si>
    <t>GL-6</t>
  </si>
  <si>
    <t>GL-7</t>
  </si>
  <si>
    <t>GL-8</t>
  </si>
  <si>
    <t>GL-9</t>
  </si>
  <si>
    <t>GL-10</t>
  </si>
  <si>
    <t>GL-11</t>
  </si>
  <si>
    <t>GL-12</t>
  </si>
  <si>
    <t>GL-13</t>
  </si>
  <si>
    <t>GL-14</t>
  </si>
  <si>
    <t>GL-15</t>
  </si>
  <si>
    <t>GL1-1</t>
  </si>
  <si>
    <t>GL1-2</t>
  </si>
  <si>
    <t>GL1-3</t>
  </si>
  <si>
    <t>GL1-4</t>
  </si>
  <si>
    <t>GL1-5</t>
  </si>
  <si>
    <t>GL1-6</t>
  </si>
  <si>
    <t>GL1-7</t>
  </si>
  <si>
    <t>GL1-8</t>
  </si>
  <si>
    <t>GL1-9</t>
  </si>
  <si>
    <t>GL1-10</t>
  </si>
  <si>
    <t>GL1-11</t>
  </si>
  <si>
    <t>GL1-12</t>
  </si>
  <si>
    <t>GL1-13</t>
  </si>
  <si>
    <t>GL1-14</t>
  </si>
  <si>
    <t>GL1-15</t>
  </si>
  <si>
    <t>GL1-16</t>
  </si>
  <si>
    <t>GL1-17</t>
  </si>
  <si>
    <t>GL1-18</t>
  </si>
  <si>
    <t>GL1-19</t>
  </si>
  <si>
    <t>GL1-20</t>
  </si>
  <si>
    <t>GL1-21</t>
  </si>
  <si>
    <t>GL1-22</t>
  </si>
  <si>
    <t>GL1-23</t>
  </si>
  <si>
    <t>GL1-24</t>
  </si>
  <si>
    <t>GL1-25</t>
  </si>
  <si>
    <t>GL1-26</t>
  </si>
  <si>
    <t>GL1-27</t>
  </si>
  <si>
    <t>GL1-28</t>
  </si>
  <si>
    <t>GL1-29</t>
  </si>
  <si>
    <t>GL1-30</t>
  </si>
  <si>
    <t>GL1-31</t>
  </si>
  <si>
    <t>GL1-32</t>
  </si>
  <si>
    <t>GL1-33</t>
  </si>
  <si>
    <t>GL1-34</t>
  </si>
  <si>
    <t>GL1-35</t>
  </si>
  <si>
    <t>GL1-36</t>
  </si>
  <si>
    <t>GL1-37</t>
  </si>
  <si>
    <t>GL1-38</t>
  </si>
  <si>
    <t>GL1-39</t>
  </si>
  <si>
    <t>GL1-40</t>
  </si>
  <si>
    <t>GL1-41</t>
  </si>
  <si>
    <t>GL1-42</t>
  </si>
  <si>
    <t>GL1-43</t>
  </si>
  <si>
    <t>GL1-44</t>
  </si>
  <si>
    <t>GL1-45</t>
  </si>
  <si>
    <t>GL1-46</t>
  </si>
  <si>
    <t>GL1-47</t>
  </si>
  <si>
    <t>GL1-48</t>
  </si>
  <si>
    <t>GL1-49</t>
  </si>
  <si>
    <t>GL1-50</t>
  </si>
  <si>
    <t>GL1-51</t>
  </si>
  <si>
    <t>GL1-52</t>
  </si>
  <si>
    <t>GL1-53</t>
  </si>
  <si>
    <t>GL1-54</t>
  </si>
  <si>
    <t>GL1-55</t>
  </si>
  <si>
    <t>GL1-57</t>
  </si>
  <si>
    <t>GL1-58</t>
  </si>
  <si>
    <t>GL1-59</t>
  </si>
  <si>
    <t>GL1-60</t>
  </si>
  <si>
    <t>GL1-61</t>
  </si>
  <si>
    <t>GL1-62</t>
  </si>
  <si>
    <t>GL1-63</t>
  </si>
  <si>
    <t>GL1-64</t>
  </si>
  <si>
    <t>GL1-65</t>
  </si>
  <si>
    <t>GL1-66</t>
  </si>
  <si>
    <t>GL1-67</t>
  </si>
  <si>
    <t>GL1-68</t>
  </si>
  <si>
    <t>GL1-69</t>
  </si>
  <si>
    <t>GL1-70</t>
  </si>
  <si>
    <t>GL1-71</t>
  </si>
  <si>
    <t>GL1-72</t>
  </si>
  <si>
    <t>GL1-73</t>
  </si>
  <si>
    <t>GL1-74</t>
  </si>
  <si>
    <t>GL1-75</t>
  </si>
  <si>
    <t>GL1-76</t>
  </si>
  <si>
    <t>GL2-1</t>
  </si>
  <si>
    <t>GL2-2</t>
  </si>
  <si>
    <t>GL2-3</t>
  </si>
  <si>
    <t>GL2-4</t>
  </si>
  <si>
    <t>HI700-14-25*300</t>
  </si>
  <si>
    <t>GL2-5</t>
  </si>
  <si>
    <t>GL2-6</t>
  </si>
  <si>
    <t>GL2-7</t>
  </si>
  <si>
    <t>GL2-8</t>
  </si>
  <si>
    <t>GL2-9</t>
  </si>
  <si>
    <t>GL2-11</t>
  </si>
  <si>
    <t>GL3-1</t>
  </si>
  <si>
    <t>GL3-2</t>
  </si>
  <si>
    <t>GL3-3</t>
  </si>
  <si>
    <t>HI300-6-10*200</t>
  </si>
  <si>
    <t>GL3-4</t>
  </si>
  <si>
    <t>GL3-5</t>
  </si>
  <si>
    <t>GL3-6</t>
  </si>
  <si>
    <t>GL3-7</t>
  </si>
  <si>
    <t>GL3-8</t>
  </si>
  <si>
    <t>GL3-9</t>
  </si>
  <si>
    <t>GL3-10</t>
  </si>
  <si>
    <t>GL3-11</t>
  </si>
  <si>
    <t>GL3-12</t>
  </si>
  <si>
    <t>GL4-1</t>
  </si>
  <si>
    <t>GL4-2</t>
  </si>
  <si>
    <t>GL4-3</t>
  </si>
  <si>
    <t>GL4-4</t>
  </si>
  <si>
    <t>GL4-5</t>
  </si>
  <si>
    <t>GL4-6</t>
  </si>
  <si>
    <t>GL4-7</t>
  </si>
  <si>
    <t>GL4-8</t>
  </si>
  <si>
    <t>GL4-9</t>
  </si>
  <si>
    <t>GL4-10</t>
  </si>
  <si>
    <t>钢柱</t>
  </si>
  <si>
    <t>GZ-1</t>
  </si>
  <si>
    <t>HI502-16-25*465</t>
  </si>
  <si>
    <t>GZ-2</t>
  </si>
  <si>
    <t>GZ-3</t>
  </si>
  <si>
    <t>GZ-4</t>
  </si>
  <si>
    <t>GZ-5</t>
  </si>
  <si>
    <t>GZ-6</t>
  </si>
  <si>
    <t>GZ-7</t>
  </si>
  <si>
    <t>GZ-8</t>
  </si>
  <si>
    <t>GZ-9</t>
  </si>
  <si>
    <t>GZ-10</t>
  </si>
  <si>
    <t>GZ-11</t>
  </si>
  <si>
    <t>GZ-12</t>
  </si>
  <si>
    <t>GZ-13</t>
  </si>
  <si>
    <t>GZ-14</t>
  </si>
  <si>
    <t>GZ-15</t>
  </si>
  <si>
    <t>GZ-16</t>
  </si>
  <si>
    <t>GZ-17</t>
  </si>
  <si>
    <t>GZ-18</t>
  </si>
  <si>
    <t>GZ-19</t>
  </si>
  <si>
    <t>GZ-20</t>
  </si>
  <si>
    <t>GZ-21</t>
  </si>
  <si>
    <t>GZ-22</t>
  </si>
  <si>
    <t>GZ-24</t>
  </si>
  <si>
    <t>GZ-25</t>
  </si>
  <si>
    <t>GZ-26</t>
  </si>
  <si>
    <t>GZ-27</t>
  </si>
  <si>
    <t>GZ-28</t>
  </si>
  <si>
    <t>GZ-29</t>
  </si>
  <si>
    <t>GZ-30</t>
  </si>
  <si>
    <t>GZ-31</t>
  </si>
  <si>
    <t>GZ-32</t>
  </si>
  <si>
    <t>GZ-33</t>
  </si>
  <si>
    <t>GZ-34</t>
  </si>
  <si>
    <t>GZ-35</t>
  </si>
  <si>
    <t>GZ-36</t>
  </si>
  <si>
    <t>GZ-37</t>
  </si>
  <si>
    <t>GZ-38</t>
  </si>
  <si>
    <t>GZ-39</t>
  </si>
  <si>
    <t>GZ-40</t>
  </si>
  <si>
    <t>GZ-41</t>
  </si>
  <si>
    <t>GZ2-1</t>
  </si>
  <si>
    <t>HI502-16-25*300</t>
  </si>
  <si>
    <t>GZ2-2</t>
  </si>
  <si>
    <t>栏杆</t>
  </si>
  <si>
    <t>LG-1</t>
  </si>
  <si>
    <t>PD47*3</t>
  </si>
  <si>
    <t>Q235B</t>
  </si>
  <si>
    <t>LG-2</t>
  </si>
  <si>
    <t>LG-3</t>
  </si>
  <si>
    <t>LG-4</t>
  </si>
  <si>
    <t>LG-5</t>
  </si>
  <si>
    <t>LG-6</t>
  </si>
  <si>
    <t>LG-7</t>
  </si>
  <si>
    <t>LG-8</t>
  </si>
  <si>
    <t>LG-9</t>
  </si>
  <si>
    <t>LG-10</t>
  </si>
  <si>
    <t>LG-11</t>
  </si>
  <si>
    <t>LG-12</t>
  </si>
  <si>
    <t>LG-13</t>
  </si>
  <si>
    <t>LG-14</t>
  </si>
  <si>
    <t>LG-15</t>
  </si>
  <si>
    <t>LG-16</t>
  </si>
  <si>
    <t>LG-17</t>
  </si>
  <si>
    <t>LG-18</t>
  </si>
  <si>
    <t>LG-19</t>
  </si>
  <si>
    <t>LG-20</t>
  </si>
  <si>
    <t>LG-21</t>
  </si>
  <si>
    <t>LG-22</t>
  </si>
  <si>
    <t>LG-23</t>
  </si>
  <si>
    <t>LG-24</t>
  </si>
  <si>
    <t>LG-25</t>
  </si>
  <si>
    <t>LG-26</t>
  </si>
  <si>
    <t>LG-27</t>
  </si>
  <si>
    <t>LG-28</t>
  </si>
  <si>
    <t>LG-29</t>
  </si>
  <si>
    <t>LG-30</t>
  </si>
  <si>
    <t>LG-31</t>
  </si>
  <si>
    <t>LG-32</t>
  </si>
  <si>
    <t>LG-33</t>
  </si>
  <si>
    <t>LG-34</t>
  </si>
  <si>
    <t>LG-35</t>
  </si>
  <si>
    <t>LG-36</t>
  </si>
  <si>
    <t>LG-37</t>
  </si>
  <si>
    <t>LG-38</t>
  </si>
  <si>
    <t>LG-39</t>
  </si>
  <si>
    <t>LG-40</t>
  </si>
  <si>
    <t>LG-41</t>
  </si>
  <si>
    <t>LG-42</t>
  </si>
  <si>
    <t>LG-43</t>
  </si>
  <si>
    <t>LG-44</t>
  </si>
  <si>
    <t>LG-45</t>
  </si>
  <si>
    <t>LG-46</t>
  </si>
  <si>
    <t>LG-47</t>
  </si>
  <si>
    <t>LG-48</t>
  </si>
  <si>
    <t>LG-49</t>
  </si>
  <si>
    <t>LG-50</t>
  </si>
  <si>
    <t>LG-51</t>
  </si>
  <si>
    <t>LG-52</t>
  </si>
  <si>
    <t>平台板</t>
  </si>
  <si>
    <t>PTB-1</t>
  </si>
  <si>
    <t>花纹板</t>
  </si>
  <si>
    <t>PTB-2</t>
  </si>
  <si>
    <t>PTB-3</t>
  </si>
  <si>
    <t>PTB-4</t>
  </si>
  <si>
    <t>PTB-5</t>
  </si>
  <si>
    <t>PTB-6</t>
  </si>
  <si>
    <t>PTB-7</t>
  </si>
  <si>
    <t>PTB-8</t>
  </si>
  <si>
    <t>PTB-9</t>
  </si>
  <si>
    <t>PTB-10</t>
  </si>
  <si>
    <t>PTB-11</t>
  </si>
  <si>
    <t>PTB-12</t>
  </si>
  <si>
    <t>PTB-13</t>
  </si>
  <si>
    <t>PTB-14</t>
  </si>
  <si>
    <t>PTB-15</t>
  </si>
  <si>
    <t>PTB-16</t>
  </si>
  <si>
    <t>PTB-17</t>
  </si>
  <si>
    <t>PTB-18</t>
  </si>
  <si>
    <t>PTB-19</t>
  </si>
  <si>
    <t>PTB-20</t>
  </si>
  <si>
    <t>PTB-21</t>
  </si>
  <si>
    <t>平台梁</t>
  </si>
  <si>
    <t>PTL1-1</t>
  </si>
  <si>
    <t>C150*75*6.5</t>
  </si>
  <si>
    <t>甲供材料</t>
  </si>
  <si>
    <t>PTL1-2</t>
  </si>
  <si>
    <t>PTL1-3</t>
  </si>
  <si>
    <t>PTL1-4</t>
  </si>
  <si>
    <t>PTL1-5</t>
  </si>
  <si>
    <t>PTL1-6</t>
  </si>
  <si>
    <t>PTL1-7</t>
  </si>
  <si>
    <t>PTL1-8</t>
  </si>
  <si>
    <t>PTL1-9</t>
  </si>
  <si>
    <t>PTL1-10</t>
  </si>
  <si>
    <t>PTL1-11</t>
  </si>
  <si>
    <t>PTL1-12</t>
  </si>
  <si>
    <t>PTL1-13</t>
  </si>
  <si>
    <t>PTL1-14</t>
  </si>
  <si>
    <t>PTL1-15</t>
  </si>
  <si>
    <t>PTL1-16</t>
  </si>
  <si>
    <t>PTL1-17</t>
  </si>
  <si>
    <t>PTL1-18</t>
  </si>
  <si>
    <t>PTL1-19</t>
  </si>
  <si>
    <t>PTL1-20</t>
  </si>
  <si>
    <t>PTL1-21</t>
  </si>
  <si>
    <t>PTL1-22</t>
  </si>
  <si>
    <t>PTL1-23</t>
  </si>
  <si>
    <t>PTL1-24</t>
  </si>
  <si>
    <t>散发件</t>
  </si>
  <si>
    <t>SF1</t>
  </si>
  <si>
    <t>PL20*70</t>
  </si>
  <si>
    <t>现场件</t>
  </si>
  <si>
    <t>SF2</t>
  </si>
  <si>
    <t>PL12*90</t>
  </si>
  <si>
    <t>SF3</t>
  </si>
  <si>
    <t>PL16*346</t>
  </si>
  <si>
    <t>SF4</t>
  </si>
  <si>
    <t>SF5</t>
  </si>
  <si>
    <t>PL6*30</t>
  </si>
  <si>
    <t>SF6</t>
  </si>
  <si>
    <t>SF7</t>
  </si>
  <si>
    <t>SF8</t>
  </si>
  <si>
    <t>SF9</t>
  </si>
  <si>
    <t>PL16*90</t>
  </si>
  <si>
    <t>SF10</t>
  </si>
  <si>
    <t>SF11</t>
  </si>
  <si>
    <t>SF12</t>
  </si>
  <si>
    <t>SF13</t>
  </si>
  <si>
    <t>SF14</t>
  </si>
  <si>
    <t>SF15</t>
  </si>
  <si>
    <t>PL14*325</t>
  </si>
  <si>
    <t>SF16</t>
  </si>
  <si>
    <t>PL14*70</t>
  </si>
  <si>
    <t>SF17</t>
  </si>
  <si>
    <t>PL8*140</t>
  </si>
  <si>
    <t>SF18</t>
  </si>
  <si>
    <t>PL8*190</t>
  </si>
  <si>
    <t>SF19</t>
  </si>
  <si>
    <t>SF20</t>
  </si>
  <si>
    <t>SF21</t>
  </si>
  <si>
    <t>SF22</t>
  </si>
  <si>
    <t>SF23</t>
  </si>
  <si>
    <t>SF24</t>
  </si>
  <si>
    <t>SF25</t>
  </si>
  <si>
    <t>钢梯</t>
  </si>
  <si>
    <t>ST-1</t>
  </si>
  <si>
    <t>ST-2</t>
  </si>
  <si>
    <t>ST-3</t>
  </si>
  <si>
    <t>ST-4</t>
  </si>
  <si>
    <t>ST-5</t>
  </si>
  <si>
    <t>ST-6</t>
  </si>
  <si>
    <t>ST-7</t>
  </si>
  <si>
    <t>ST-8</t>
  </si>
  <si>
    <t>ST-9</t>
  </si>
  <si>
    <t>ST-10</t>
  </si>
  <si>
    <t>ST-11</t>
  </si>
  <si>
    <t>ST-12</t>
  </si>
  <si>
    <t>ST-13</t>
  </si>
  <si>
    <t>ST-14</t>
  </si>
  <si>
    <t>ST-15</t>
  </si>
  <si>
    <t>ST-16</t>
  </si>
  <si>
    <t>ST-17</t>
  </si>
  <si>
    <t>ST-18</t>
  </si>
  <si>
    <t>ST-19</t>
  </si>
  <si>
    <t>ST-20</t>
  </si>
  <si>
    <t>ST-21</t>
  </si>
  <si>
    <t>ST-22</t>
  </si>
  <si>
    <t>梯梁</t>
  </si>
  <si>
    <t>TL-1</t>
  </si>
  <si>
    <t>HI200-8-8*200</t>
  </si>
  <si>
    <t>TL-2</t>
  </si>
  <si>
    <t>TL-3</t>
  </si>
  <si>
    <t>TL-4</t>
  </si>
  <si>
    <t>TL-5</t>
  </si>
  <si>
    <t>TL-6</t>
  </si>
  <si>
    <t>TL-7</t>
  </si>
  <si>
    <t>TL-8</t>
  </si>
  <si>
    <t>TL-9</t>
  </si>
  <si>
    <t>TL-10</t>
  </si>
  <si>
    <t>TL-11</t>
  </si>
  <si>
    <t>TL-12</t>
  </si>
  <si>
    <t>TL-13</t>
  </si>
  <si>
    <t>TL-14</t>
  </si>
  <si>
    <t>TL-15</t>
  </si>
  <si>
    <t>TL-16</t>
  </si>
  <si>
    <t>TL-17</t>
  </si>
  <si>
    <t>TL-18</t>
  </si>
  <si>
    <t>梯柱</t>
  </si>
  <si>
    <t>TZ-1</t>
  </si>
  <si>
    <t>HI200-6-8*200</t>
  </si>
  <si>
    <t>TZ-2</t>
  </si>
  <si>
    <t>TZ-3</t>
  </si>
  <si>
    <t>TZ-4</t>
  </si>
  <si>
    <t>TZ-5</t>
  </si>
  <si>
    <t>TZ-6</t>
  </si>
  <si>
    <t>TZ-7</t>
  </si>
  <si>
    <t>TZ-8</t>
  </si>
  <si>
    <t>TZ-9</t>
  </si>
  <si>
    <t>TZ-10</t>
  </si>
  <si>
    <t>TZ-11</t>
  </si>
  <si>
    <t>TZ-12</t>
  </si>
  <si>
    <t>TZ-13</t>
  </si>
  <si>
    <t>TZ-14</t>
  </si>
  <si>
    <t>TZ-15</t>
  </si>
  <si>
    <t>TZ-16</t>
  </si>
  <si>
    <t>TZ-17</t>
  </si>
  <si>
    <t>TZ-18</t>
  </si>
  <si>
    <t>TZ-19</t>
  </si>
  <si>
    <t>TZ-22</t>
  </si>
  <si>
    <t>合计：</t>
  </si>
  <si>
    <t>此行严禁删除！</t>
  </si>
  <si>
    <t>备注：楼梯备注栏为甲供材料重量</t>
  </si>
  <si>
    <t>S</t>
  </si>
  <si>
    <t>备注：钢梯备注栏为甲供材料重量</t>
  </si>
  <si>
    <t>零件编号</t>
  </si>
  <si>
    <t>B1</t>
  </si>
  <si>
    <t>PL20*602</t>
  </si>
  <si>
    <t>B2</t>
  </si>
  <si>
    <t>PL20*452</t>
  </si>
  <si>
    <t>B3</t>
  </si>
  <si>
    <t>PL20*446</t>
  </si>
  <si>
    <t>B4</t>
  </si>
  <si>
    <t>PL20*477</t>
  </si>
  <si>
    <t>B5</t>
  </si>
  <si>
    <t>B6</t>
  </si>
  <si>
    <t>B7</t>
  </si>
  <si>
    <t>B8</t>
  </si>
  <si>
    <t>PL20*225</t>
  </si>
  <si>
    <t>B9</t>
  </si>
  <si>
    <t>PL20*35</t>
  </si>
  <si>
    <t>B10</t>
  </si>
  <si>
    <t>B11</t>
  </si>
  <si>
    <t>PL20*240</t>
  </si>
  <si>
    <t>B12</t>
  </si>
  <si>
    <t>PL20*540</t>
  </si>
  <si>
    <t>B13</t>
  </si>
  <si>
    <t>PL20*252</t>
  </si>
  <si>
    <t>B14</t>
  </si>
  <si>
    <t>PL12*265</t>
  </si>
  <si>
    <t>B15</t>
  </si>
  <si>
    <t>B16</t>
  </si>
  <si>
    <t>B17</t>
  </si>
  <si>
    <t>B18</t>
  </si>
  <si>
    <t>B19</t>
  </si>
  <si>
    <t>B20</t>
  </si>
  <si>
    <t>PL12*95</t>
  </si>
  <si>
    <t>B21</t>
  </si>
  <si>
    <t>B22</t>
  </si>
  <si>
    <t>B23</t>
  </si>
  <si>
    <t>PL12*468</t>
  </si>
  <si>
    <t>B24</t>
  </si>
  <si>
    <t>B25</t>
  </si>
  <si>
    <t>PL12*493</t>
  </si>
  <si>
    <t>B26</t>
  </si>
  <si>
    <t>PL12*602</t>
  </si>
  <si>
    <t>B27</t>
  </si>
  <si>
    <t>PL12*120</t>
  </si>
  <si>
    <t>B28</t>
  </si>
  <si>
    <t>PL12*105</t>
  </si>
  <si>
    <t>B29</t>
  </si>
  <si>
    <t>PL12*35</t>
  </si>
  <si>
    <t>B30</t>
  </si>
  <si>
    <t>PL12*225</t>
  </si>
  <si>
    <t>B31</t>
  </si>
  <si>
    <t>B32</t>
  </si>
  <si>
    <t>PL12*235</t>
  </si>
  <si>
    <t>B33</t>
  </si>
  <si>
    <t>PL12*110</t>
  </si>
  <si>
    <t>B34</t>
  </si>
  <si>
    <t>B35</t>
  </si>
  <si>
    <t>PL10*602</t>
  </si>
  <si>
    <t>B36</t>
  </si>
  <si>
    <t>PL10*280</t>
  </si>
  <si>
    <t>B37</t>
  </si>
  <si>
    <t>PL10*266</t>
  </si>
  <si>
    <t>B38</t>
  </si>
  <si>
    <t>PL10*271</t>
  </si>
  <si>
    <t>B39</t>
  </si>
  <si>
    <t>PL10*264</t>
  </si>
  <si>
    <t>B40</t>
  </si>
  <si>
    <t>PL10*313</t>
  </si>
  <si>
    <t>B41</t>
  </si>
  <si>
    <t>PL10*265</t>
  </si>
  <si>
    <t>B42</t>
  </si>
  <si>
    <t>B43</t>
  </si>
  <si>
    <t>PL10*30</t>
  </si>
  <si>
    <t>B44</t>
  </si>
  <si>
    <t>PL10*143</t>
  </si>
  <si>
    <t>B45</t>
  </si>
  <si>
    <t>PL10*120</t>
  </si>
  <si>
    <t>B46</t>
  </si>
  <si>
    <t>PL10*96</t>
  </si>
  <si>
    <t>B47</t>
  </si>
  <si>
    <t>PL10*35</t>
  </si>
  <si>
    <t>B48</t>
  </si>
  <si>
    <t>PL10*94</t>
  </si>
  <si>
    <t>B49</t>
  </si>
  <si>
    <t>PL10*95</t>
  </si>
  <si>
    <t>B50</t>
  </si>
  <si>
    <t>B51</t>
  </si>
  <si>
    <t>PL10*80</t>
  </si>
  <si>
    <t>B52</t>
  </si>
  <si>
    <t>PL16*225</t>
  </si>
  <si>
    <t>B53</t>
  </si>
  <si>
    <t>PL16*165</t>
  </si>
  <si>
    <t>B54</t>
  </si>
  <si>
    <t>PL16*617</t>
  </si>
  <si>
    <t>B55</t>
  </si>
  <si>
    <t>PL16*611</t>
  </si>
  <si>
    <t>B56</t>
  </si>
  <si>
    <t>B57</t>
  </si>
  <si>
    <t>B58</t>
  </si>
  <si>
    <t>PL16*143</t>
  </si>
  <si>
    <t>B59</t>
  </si>
  <si>
    <t>B60</t>
  </si>
  <si>
    <t>B61</t>
  </si>
  <si>
    <t>PL16*602</t>
  </si>
  <si>
    <t>B62</t>
  </si>
  <si>
    <t>PL16*135</t>
  </si>
  <si>
    <t>B63</t>
  </si>
  <si>
    <t>B64</t>
  </si>
  <si>
    <t>PL16*120</t>
  </si>
  <si>
    <t>B65</t>
  </si>
  <si>
    <t>B66</t>
  </si>
  <si>
    <t>B67</t>
  </si>
  <si>
    <t>PL16*35</t>
  </si>
  <si>
    <t>B68</t>
  </si>
  <si>
    <t>B69</t>
  </si>
  <si>
    <t>B70</t>
  </si>
  <si>
    <t>B71</t>
  </si>
  <si>
    <t>PL6*432</t>
  </si>
  <si>
    <t>B72</t>
  </si>
  <si>
    <t>PL6*60</t>
  </si>
  <si>
    <t>B73</t>
  </si>
  <si>
    <t>PL6*287</t>
  </si>
  <si>
    <t>B74</t>
  </si>
  <si>
    <t>PL6*300</t>
  </si>
  <si>
    <t>B75</t>
  </si>
  <si>
    <t>PL6*100</t>
  </si>
  <si>
    <t>B76</t>
  </si>
  <si>
    <t>B77</t>
  </si>
  <si>
    <t>PL25*505</t>
  </si>
  <si>
    <t>B78</t>
  </si>
  <si>
    <t>PL25*35</t>
  </si>
  <si>
    <t>B79</t>
  </si>
  <si>
    <t>B80</t>
  </si>
  <si>
    <t>PL14*95</t>
  </si>
  <si>
    <t>B81</t>
  </si>
  <si>
    <t>PL14*560</t>
  </si>
  <si>
    <t>B82</t>
  </si>
  <si>
    <t>PL14*94</t>
  </si>
  <si>
    <t>B83</t>
  </si>
  <si>
    <t>PL14*106</t>
  </si>
  <si>
    <t>B84</t>
  </si>
  <si>
    <t>PL14*176</t>
  </si>
  <si>
    <t>B85</t>
  </si>
  <si>
    <t>PL14*602</t>
  </si>
  <si>
    <t>B86</t>
  </si>
  <si>
    <t>PL14*222</t>
  </si>
  <si>
    <t>B87</t>
  </si>
  <si>
    <t>PL14*160</t>
  </si>
  <si>
    <t>B88</t>
  </si>
  <si>
    <t>B89</t>
  </si>
  <si>
    <t>PL14*225</t>
  </si>
  <si>
    <t>B90</t>
  </si>
  <si>
    <t>PL14*35</t>
  </si>
  <si>
    <t>B91</t>
  </si>
  <si>
    <t>B92</t>
  </si>
  <si>
    <t>PL14*143</t>
  </si>
  <si>
    <t>B93</t>
  </si>
  <si>
    <t>PL14*120</t>
  </si>
  <si>
    <t>B94</t>
  </si>
  <si>
    <t>PL8*176</t>
  </si>
  <si>
    <t>B95</t>
  </si>
  <si>
    <t>PL8*200</t>
  </si>
  <si>
    <t>B96</t>
  </si>
  <si>
    <t>PL8*184</t>
  </si>
  <si>
    <t>B97</t>
  </si>
  <si>
    <t>PL8*194</t>
  </si>
  <si>
    <t>B98</t>
  </si>
  <si>
    <t>PL8*186</t>
  </si>
  <si>
    <t>B99</t>
  </si>
  <si>
    <t>B100</t>
  </si>
  <si>
    <t>B101</t>
  </si>
  <si>
    <t>B102</t>
  </si>
  <si>
    <t>B103</t>
  </si>
  <si>
    <t>B104</t>
  </si>
  <si>
    <t>B105</t>
  </si>
  <si>
    <t>PL8*196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</si>
  <si>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</si>
  <si>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</si>
  <si>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</si>
  <si>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</si>
  <si>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</si>
  <si>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</si>
  <si>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</si>
  <si>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</si>
  <si>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</si>
  <si>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</si>
  <si>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PL8*96</t>
  </si>
  <si>
    <t>B116</t>
  </si>
  <si>
    <t>PL8*97</t>
  </si>
  <si>
    <t>B117</t>
  </si>
  <si>
    <t>PL8*120</t>
  </si>
  <si>
    <t>B118</t>
  </si>
  <si>
    <t>PL8*88</t>
  </si>
  <si>
    <t>B119</t>
  </si>
  <si>
    <t>B120</t>
  </si>
  <si>
    <t>PL8*80</t>
  </si>
  <si>
    <t>B121</t>
  </si>
  <si>
    <t>B122</t>
  </si>
  <si>
    <t>PL8*95</t>
  </si>
  <si>
    <t>B123</t>
  </si>
  <si>
    <t>PL8*100</t>
  </si>
  <si>
    <t>B124</t>
  </si>
  <si>
    <t>PL8*84</t>
  </si>
  <si>
    <t>B125</t>
  </si>
  <si>
    <t>B126</t>
  </si>
  <si>
    <t>B127</t>
  </si>
  <si>
    <t>PL12*97</t>
  </si>
  <si>
    <t>B128</t>
  </si>
  <si>
    <t>PL12*142</t>
  </si>
  <si>
    <t>B129</t>
  </si>
  <si>
    <t>PL12*519</t>
  </si>
  <si>
    <t>B130</t>
  </si>
  <si>
    <t>B131</t>
  </si>
  <si>
    <t>B132</t>
  </si>
  <si>
    <t>PL20*142</t>
  </si>
  <si>
    <t>B133</t>
  </si>
  <si>
    <t>B134</t>
  </si>
  <si>
    <t>PL8*225</t>
  </si>
  <si>
    <t>B135</t>
  </si>
  <si>
    <t>B136</t>
  </si>
  <si>
    <t>B137</t>
  </si>
  <si>
    <t>PL8*94</t>
  </si>
  <si>
    <t>B138</t>
  </si>
  <si>
    <t>B139</t>
  </si>
  <si>
    <t>PL8*62</t>
  </si>
  <si>
    <t>B140</t>
  </si>
  <si>
    <t>B141</t>
  </si>
  <si>
    <t>PL14*697</t>
  </si>
  <si>
    <t>B142</t>
  </si>
  <si>
    <t>B143</t>
  </si>
  <si>
    <t>B144</t>
  </si>
  <si>
    <t>PL10*267</t>
  </si>
  <si>
    <t>B145</t>
  </si>
  <si>
    <t>PL10*277</t>
  </si>
  <si>
    <t>B146</t>
  </si>
  <si>
    <t>PL10*85</t>
  </si>
  <si>
    <t>B147</t>
  </si>
  <si>
    <t>B148</t>
  </si>
  <si>
    <t>B149</t>
  </si>
  <si>
    <t>B150</t>
  </si>
  <si>
    <t>PL10*175</t>
  </si>
  <si>
    <t>B151</t>
  </si>
  <si>
    <t>PL10*492</t>
  </si>
  <si>
    <t>B152</t>
  </si>
  <si>
    <t>B153</t>
  </si>
  <si>
    <t>PL10*142</t>
  </si>
  <si>
    <t>B154</t>
  </si>
  <si>
    <t>PL10*225</t>
  </si>
  <si>
    <t>B155</t>
  </si>
  <si>
    <t>B156</t>
  </si>
  <si>
    <t>PL6*80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</si>
  <si>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</si>
  <si>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</si>
  <si>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</si>
  <si>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</si>
  <si>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</si>
  <si>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</si>
  <si>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</si>
  <si>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</si>
  <si>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</si>
  <si>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</si>
  <si>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</si>
  <si>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PL6*400</t>
  </si>
  <si>
    <t>直发件</t>
  </si>
  <si>
    <t>TB1</t>
  </si>
  <si>
    <t>PL5*950</t>
  </si>
  <si>
    <t>踏步</t>
  </si>
  <si>
    <t>TB2</t>
  </si>
  <si>
    <t>TB3</t>
  </si>
  <si>
    <t>TB4</t>
  </si>
  <si>
    <t>TB5</t>
  </si>
  <si>
    <t>TB6</t>
  </si>
  <si>
    <t>TB7</t>
  </si>
  <si>
    <t>TB8</t>
  </si>
  <si>
    <t>TB9</t>
  </si>
  <si>
    <t>PL5*1050</t>
  </si>
  <si>
    <t>TB10</t>
  </si>
  <si>
    <t>TB11</t>
  </si>
  <si>
    <t>TB12</t>
  </si>
  <si>
    <t>TB13</t>
  </si>
  <si>
    <t>TB14</t>
  </si>
  <si>
    <t>TB15</t>
  </si>
  <si>
    <t>规格mm</t>
  </si>
  <si>
    <t>H1</t>
  </si>
  <si>
    <t>H2</t>
  </si>
  <si>
    <t>H3</t>
  </si>
  <si>
    <t>H4</t>
  </si>
  <si>
    <t>H5</t>
  </si>
  <si>
    <t>H6</t>
  </si>
  <si>
    <t>H7</t>
  </si>
  <si>
    <t>H7/8</t>
  </si>
  <si>
    <t>H9</t>
  </si>
  <si>
    <t>H9A</t>
  </si>
  <si>
    <t>H10</t>
  </si>
  <si>
    <t>H11</t>
  </si>
  <si>
    <t>H12</t>
  </si>
  <si>
    <t>H13</t>
  </si>
  <si>
    <t>H14</t>
  </si>
  <si>
    <t>H15</t>
  </si>
  <si>
    <t>H16</t>
  </si>
  <si>
    <t>H17</t>
  </si>
  <si>
    <t>H18/19</t>
  </si>
  <si>
    <t>H20</t>
  </si>
  <si>
    <t>H21</t>
  </si>
  <si>
    <t>H21A</t>
  </si>
  <si>
    <t>H22</t>
  </si>
  <si>
    <t>H23</t>
  </si>
  <si>
    <t>H23A</t>
  </si>
  <si>
    <t>H24</t>
  </si>
  <si>
    <t>H25</t>
  </si>
  <si>
    <t>H26</t>
  </si>
  <si>
    <t>H27</t>
  </si>
  <si>
    <t>H27A</t>
  </si>
  <si>
    <t>H28</t>
  </si>
  <si>
    <t>H28A</t>
  </si>
  <si>
    <t>H29/30/31</t>
  </si>
  <si>
    <t>H32</t>
  </si>
  <si>
    <t>H33</t>
  </si>
  <si>
    <t>H34</t>
  </si>
  <si>
    <t>H35/36</t>
  </si>
  <si>
    <t>H37</t>
  </si>
  <si>
    <t>H38</t>
  </si>
  <si>
    <t>H39</t>
  </si>
  <si>
    <t>H40</t>
  </si>
  <si>
    <t>H40A</t>
  </si>
  <si>
    <t>H41</t>
  </si>
  <si>
    <t>H42</t>
  </si>
  <si>
    <t>H43</t>
  </si>
  <si>
    <t>H44</t>
  </si>
  <si>
    <t>H45</t>
  </si>
  <si>
    <t>H46</t>
  </si>
  <si>
    <t>H47</t>
  </si>
  <si>
    <t>H48</t>
  </si>
  <si>
    <t>H49/52</t>
  </si>
  <si>
    <t>H50</t>
  </si>
  <si>
    <t>H51</t>
  </si>
  <si>
    <t>H51A</t>
  </si>
  <si>
    <t>H53</t>
  </si>
  <si>
    <t>H54</t>
  </si>
  <si>
    <t>H55/57</t>
  </si>
  <si>
    <t>H56</t>
  </si>
  <si>
    <t>H58</t>
  </si>
  <si>
    <t>H59</t>
  </si>
  <si>
    <t>H60</t>
  </si>
  <si>
    <t>H61/62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</si>
  <si>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</si>
  <si>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</si>
  <si>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</si>
  <si>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</si>
  <si>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</si>
  <si>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</si>
  <si>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</si>
  <si>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</si>
  <si>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</si>
  <si>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</si>
  <si>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</si>
  <si>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H73A</t>
  </si>
  <si>
    <t>H74</t>
  </si>
  <si>
    <t>H75</t>
  </si>
  <si>
    <t>H76/77</t>
  </si>
  <si>
    <t>H78/116</t>
  </si>
  <si>
    <t>H79</t>
  </si>
  <si>
    <t>H80</t>
  </si>
  <si>
    <t>H81</t>
  </si>
  <si>
    <t>H82/83/84/85/86</t>
  </si>
  <si>
    <t>H87/88/89/90</t>
  </si>
  <si>
    <t>H91/92</t>
  </si>
  <si>
    <t>H93</t>
  </si>
  <si>
    <t>H94</t>
  </si>
  <si>
    <t>H95</t>
  </si>
  <si>
    <t>H96/98/99</t>
  </si>
  <si>
    <t>H100/101</t>
  </si>
  <si>
    <t>H102/103/104/105/106</t>
  </si>
  <si>
    <t>H107/108</t>
  </si>
  <si>
    <t>H109</t>
  </si>
  <si>
    <t>H110</t>
  </si>
  <si>
    <t>H111</t>
  </si>
  <si>
    <t>H112</t>
  </si>
  <si>
    <t>H113</t>
  </si>
  <si>
    <t>H114/115</t>
  </si>
  <si>
    <t>宽度mm</t>
  </si>
  <si>
    <t>6汇总</t>
  </si>
  <si>
    <t>8汇总</t>
  </si>
  <si>
    <t>10汇总</t>
  </si>
  <si>
    <t>12汇总</t>
  </si>
  <si>
    <t>14汇总</t>
  </si>
  <si>
    <t>16汇总</t>
  </si>
  <si>
    <t>20汇总</t>
  </si>
  <si>
    <t>25汇总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</si>
</sst>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0.00_);[Red]\(0.00\)"/>
    <numFmt numFmtId="179" formatCode="0_ "/>
    <numFmt numFmtId="180" formatCode="0\ "/>
    <numFmt numFmtId="181" formatCode="0.00\ "/>
    <numFmt numFmtId="182" formatCode="General:yyyy&quot;年&quot;m&quot;月&quot;d&quot;日&quot;"/>
  </numFmts>
  <fonts count="67">
    <font>
      <sz val="12"/>
      <name val="Swis721 Cn BT"/>
      <charset val="134"/>
    </font>
    <font>
      <sz val="14"/>
      <name val="宋体"/>
      <charset val="134"/>
      <scheme val="major"/>
    </font>
    <font>
      <sz val="18"/>
      <name val="宋体"/>
      <charset val="134"/>
      <scheme val="major"/>
    </font>
    <font>
      <b/>
      <sz val="14"/>
      <name val="宋体"/>
      <charset val="134"/>
      <scheme val="major"/>
    </font>
    <font>
      <sz val="10"/>
      <color theme="1"/>
      <name val="宋体"/>
      <charset val="134"/>
      <scheme val="major"/>
    </font>
    <font>
      <sz val="12"/>
      <name val="宋体"/>
      <charset val="134"/>
      <scheme val="major"/>
    </font>
    <font>
      <sz val="10"/>
      <name val="宋体"/>
      <charset val="134"/>
      <scheme val="major"/>
    </font>
    <font>
      <b/>
      <sz val="18"/>
      <name val="宋体"/>
      <charset val="134"/>
      <scheme val="major"/>
    </font>
    <font>
      <b/>
      <sz val="26"/>
      <name val="宋体"/>
      <charset val="134"/>
      <scheme val="major"/>
    </font>
    <font>
      <b/>
      <sz val="20"/>
      <color theme="1"/>
      <name val="宋体"/>
      <charset val="134"/>
      <scheme val="major"/>
    </font>
    <font>
      <b/>
      <sz val="18"/>
      <color rgb="FFFF0000"/>
      <name val="宋体"/>
      <charset val="134"/>
      <scheme val="major"/>
    </font>
    <font>
      <b/>
      <sz val="14"/>
      <color theme="1"/>
      <name val="宋体"/>
      <charset val="134"/>
      <scheme val="major"/>
    </font>
    <font>
      <sz val="14"/>
      <color theme="1"/>
      <name val="宋体"/>
      <charset val="134"/>
      <scheme val="major"/>
    </font>
    <font>
      <sz val="12"/>
      <color theme="1"/>
      <name val="宋体"/>
      <charset val="134"/>
      <scheme val="minor"/>
    </font>
    <font>
      <b/>
      <sz val="14"/>
      <color rgb="FFFF0000"/>
      <name val="宋体"/>
      <charset val="134"/>
      <scheme val="major"/>
    </font>
    <font>
      <sz val="22"/>
      <color theme="1"/>
      <name val="宋体"/>
      <charset val="134"/>
      <scheme val="major"/>
    </font>
    <font>
      <b/>
      <sz val="12"/>
      <color rgb="FFFF0000"/>
      <name val="宋体"/>
      <charset val="134"/>
      <scheme val="major"/>
    </font>
    <font>
      <sz val="16"/>
      <name val="宋体"/>
      <charset val="134"/>
      <scheme val="major"/>
    </font>
    <font>
      <b/>
      <sz val="16"/>
      <name val="宋体"/>
      <charset val="134"/>
      <scheme val="major"/>
    </font>
    <font>
      <sz val="16"/>
      <color theme="1"/>
      <name val="宋体"/>
      <charset val="134"/>
      <scheme val="major"/>
    </font>
    <font>
      <b/>
      <sz val="16"/>
      <color rgb="FFFF0000"/>
      <name val="宋体"/>
      <charset val="134"/>
      <scheme val="major"/>
    </font>
    <font>
      <b/>
      <sz val="18"/>
      <color theme="1"/>
      <name val="宋体"/>
      <charset val="134"/>
      <scheme val="major"/>
    </font>
    <font>
      <b/>
      <sz val="20"/>
      <name val="宋体"/>
      <charset val="134"/>
      <scheme val="major"/>
    </font>
    <font>
      <sz val="26"/>
      <name val="宋体"/>
      <charset val="134"/>
      <scheme val="major"/>
    </font>
    <font>
      <sz val="10"/>
      <color theme="1"/>
      <name val="Swis721 Cn BT"/>
      <charset val="134"/>
    </font>
    <font>
      <sz val="10"/>
      <name val="Swis721 Cn BT"/>
      <charset val="134"/>
    </font>
    <font>
      <b/>
      <sz val="18"/>
      <name val="Swis721 Cn BT"/>
      <charset val="134"/>
    </font>
    <font>
      <b/>
      <sz val="14"/>
      <color theme="1"/>
      <name val="宋体"/>
      <charset val="134"/>
    </font>
    <font>
      <sz val="20"/>
      <name val="宋体"/>
      <charset val="134"/>
      <scheme val="major"/>
    </font>
    <font>
      <sz val="11"/>
      <name val="Swis721 Cn BT"/>
      <charset val="134"/>
    </font>
    <font>
      <b/>
      <sz val="11"/>
      <name val="Swis721 Cn BT"/>
      <charset val="134"/>
    </font>
    <font>
      <b/>
      <sz val="10"/>
      <name val="Swis721 Cn BT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2"/>
      <name val="宋体"/>
      <charset val="134"/>
      <scheme val="minor"/>
    </font>
    <font>
      <sz val="18"/>
      <name val="宋体"/>
      <charset val="134"/>
      <scheme val="minor"/>
    </font>
    <font>
      <b/>
      <sz val="22"/>
      <color rgb="FFFF0000"/>
      <name val="宋体"/>
      <charset val="134"/>
      <scheme val="major"/>
    </font>
    <font>
      <sz val="18"/>
      <color theme="1"/>
      <name val="宋体"/>
      <charset val="134"/>
      <scheme val="major"/>
    </font>
    <font>
      <sz val="12"/>
      <color indexed="8"/>
      <name val="宋体"/>
      <charset val="134"/>
      <scheme val="major"/>
    </font>
    <font>
      <sz val="18"/>
      <color indexed="8"/>
      <name val="宋体"/>
      <charset val="134"/>
      <scheme val="major"/>
    </font>
    <font>
      <b/>
      <sz val="22"/>
      <color rgb="FFFF0000"/>
      <name val="宋体"/>
      <charset val="134"/>
      <scheme val="minor"/>
    </font>
    <font>
      <sz val="12"/>
      <color rgb="FFFF0000"/>
      <name val="宋体"/>
      <charset val="134"/>
      <scheme val="major"/>
    </font>
    <font>
      <sz val="16"/>
      <color rgb="FFFF0000"/>
      <name val="宋体"/>
      <charset val="134"/>
      <scheme val="minor"/>
    </font>
    <font>
      <sz val="16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  <font>
      <sz val="16"/>
      <color rgb="FFFF0000"/>
      <name val="宋体"/>
      <charset val="134"/>
      <scheme val="major"/>
    </font>
    <font>
      <b/>
      <sz val="18"/>
      <name val="华文中宋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8">
    <xf numFmtId="0" fontId="0" fillId="0" borderId="0">
      <alignment vertical="center"/>
    </xf>
    <xf numFmtId="43" fontId="44" fillId="0" borderId="0" applyFont="0" applyFill="0" applyBorder="0" applyAlignment="0" applyProtection="0">
      <alignment vertical="center"/>
    </xf>
    <xf numFmtId="44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6" borderId="9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0" applyNumberFormat="0" applyFill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2" fillId="0" borderId="11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7" borderId="12" applyNumberFormat="0" applyAlignment="0" applyProtection="0">
      <alignment vertical="center"/>
    </xf>
    <xf numFmtId="0" fontId="54" fillId="8" borderId="13" applyNumberFormat="0" applyAlignment="0" applyProtection="0">
      <alignment vertical="center"/>
    </xf>
    <xf numFmtId="0" fontId="55" fillId="8" borderId="12" applyNumberFormat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57" fillId="0" borderId="15" applyNumberFormat="0" applyFill="0" applyAlignment="0" applyProtection="0">
      <alignment vertical="center"/>
    </xf>
    <xf numFmtId="0" fontId="58" fillId="0" borderId="16" applyNumberFormat="0" applyFill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3" fillId="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</cellStyleXfs>
  <cellXfs count="167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177" fontId="5" fillId="0" borderId="0" xfId="0" applyNumberFormat="1" applyFont="1" applyFill="1" applyBorder="1" applyAlignment="1">
      <alignment horizontal="right" vertical="center"/>
    </xf>
    <xf numFmtId="177" fontId="6" fillId="0" borderId="0" xfId="0" applyNumberFormat="1" applyFont="1" applyFill="1" applyBorder="1" applyAlignment="1">
      <alignment horizontal="center" vertical="center"/>
    </xf>
    <xf numFmtId="178" fontId="6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>
      <alignment vertical="center"/>
    </xf>
    <xf numFmtId="0" fontId="7" fillId="0" borderId="0" xfId="0" applyFont="1" applyFill="1" applyBorder="1" applyAlignment="1">
      <alignment horizontal="left" vertical="center"/>
    </xf>
    <xf numFmtId="177" fontId="7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right" vertical="center"/>
    </xf>
    <xf numFmtId="177" fontId="9" fillId="0" borderId="0" xfId="0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center" vertical="center"/>
    </xf>
    <xf numFmtId="177" fontId="11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7" fontId="13" fillId="0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77" fontId="13" fillId="4" borderId="1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79" fontId="14" fillId="0" borderId="0" xfId="0" applyNumberFormat="1" applyFont="1" applyFill="1" applyBorder="1" applyAlignment="1">
      <alignment horizontal="right" vertical="center"/>
    </xf>
    <xf numFmtId="177" fontId="14" fillId="0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>
      <alignment vertical="center"/>
    </xf>
    <xf numFmtId="0" fontId="16" fillId="0" borderId="0" xfId="0" applyFont="1" applyFill="1" applyBorder="1">
      <alignment vertical="center"/>
    </xf>
    <xf numFmtId="176" fontId="5" fillId="0" borderId="0" xfId="0" applyNumberFormat="1" applyFont="1" applyFill="1" applyBorder="1" applyAlignment="1">
      <alignment horizontal="right" vertical="center"/>
    </xf>
    <xf numFmtId="177" fontId="5" fillId="0" borderId="0" xfId="0" applyNumberFormat="1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12" fillId="3" borderId="1" xfId="0" applyNumberFormat="1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1" xfId="0" applyNumberFormat="1" applyFont="1" applyFill="1" applyBorder="1" applyAlignment="1" applyProtection="1">
      <alignment horizontal="right" vertical="center"/>
    </xf>
    <xf numFmtId="177" fontId="12" fillId="3" borderId="1" xfId="0" applyNumberFormat="1" applyFont="1" applyFill="1" applyBorder="1" applyAlignment="1" applyProtection="1">
      <alignment horizontal="right" vertical="center"/>
    </xf>
    <xf numFmtId="49" fontId="1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17" fillId="0" borderId="0" xfId="0" applyFont="1" applyFill="1" applyBorder="1">
      <alignment vertical="center"/>
    </xf>
    <xf numFmtId="177" fontId="9" fillId="0" borderId="0" xfId="0" applyNumberFormat="1" applyFont="1" applyFill="1" applyBorder="1" applyAlignment="1">
      <alignment vertical="center"/>
    </xf>
    <xf numFmtId="180" fontId="12" fillId="3" borderId="1" xfId="0" applyNumberFormat="1" applyFont="1" applyFill="1" applyBorder="1" applyAlignment="1" applyProtection="1">
      <alignment horizontal="center" vertical="center"/>
    </xf>
    <xf numFmtId="181" fontId="12" fillId="3" borderId="1" xfId="0" applyNumberFormat="1" applyFont="1" applyFill="1" applyBorder="1" applyAlignment="1" applyProtection="1">
      <alignment horizontal="right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NumberFormat="1" applyFont="1" applyFill="1" applyBorder="1" applyAlignment="1" applyProtection="1">
      <alignment horizontal="center" vertical="center"/>
    </xf>
    <xf numFmtId="0" fontId="12" fillId="5" borderId="1" xfId="0" applyNumberFormat="1" applyFont="1" applyFill="1" applyBorder="1" applyAlignment="1" applyProtection="1">
      <alignment horizontal="right" vertical="center"/>
    </xf>
    <xf numFmtId="180" fontId="12" fillId="5" borderId="1" xfId="0" applyNumberFormat="1" applyFont="1" applyFill="1" applyBorder="1" applyAlignment="1" applyProtection="1">
      <alignment horizontal="center" vertical="center"/>
    </xf>
    <xf numFmtId="181" fontId="12" fillId="5" borderId="1" xfId="0" applyNumberFormat="1" applyFont="1" applyFill="1" applyBorder="1" applyAlignment="1" applyProtection="1">
      <alignment horizontal="right" vertical="center"/>
    </xf>
    <xf numFmtId="0" fontId="18" fillId="0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20" fillId="0" borderId="0" xfId="0" applyFont="1" applyFill="1" applyBorder="1">
      <alignment vertical="center"/>
    </xf>
    <xf numFmtId="49" fontId="11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</xf>
    <xf numFmtId="0" fontId="12" fillId="3" borderId="1" xfId="0" applyFont="1" applyFill="1" applyBorder="1" applyAlignment="1" applyProtection="1">
      <alignment horizontal="right" vertical="center"/>
    </xf>
    <xf numFmtId="0" fontId="12" fillId="3" borderId="1" xfId="0" applyFont="1" applyFill="1" applyBorder="1" applyAlignment="1" applyProtection="1">
      <alignment vertical="center"/>
    </xf>
    <xf numFmtId="0" fontId="21" fillId="0" borderId="0" xfId="0" applyFont="1" applyFill="1" applyBorder="1" applyAlignment="1">
      <alignment horizontal="left" vertical="center"/>
    </xf>
    <xf numFmtId="181" fontId="12" fillId="3" borderId="1" xfId="0" applyNumberFormat="1" applyFont="1" applyFill="1" applyBorder="1" applyAlignment="1" applyProtection="1">
      <alignment vertical="center"/>
    </xf>
    <xf numFmtId="0" fontId="12" fillId="5" borderId="1" xfId="0" applyNumberFormat="1" applyFont="1" applyFill="1" applyBorder="1" applyAlignment="1">
      <alignment horizontal="center" vertical="center"/>
    </xf>
    <xf numFmtId="49" fontId="22" fillId="5" borderId="0" xfId="0" applyNumberFormat="1" applyFont="1" applyFill="1" applyAlignment="1">
      <alignment horizontal="center" vertical="center"/>
    </xf>
    <xf numFmtId="177" fontId="12" fillId="3" borderId="1" xfId="0" applyNumberFormat="1" applyFont="1" applyFill="1" applyBorder="1" applyAlignment="1" applyProtection="1">
      <alignment vertical="center"/>
    </xf>
    <xf numFmtId="0" fontId="12" fillId="3" borderId="3" xfId="0" applyNumberFormat="1" applyFont="1" applyFill="1" applyBorder="1" applyAlignment="1">
      <alignment horizontal="center" vertical="center" wrapText="1"/>
    </xf>
    <xf numFmtId="0" fontId="12" fillId="3" borderId="4" xfId="0" applyNumberFormat="1" applyFont="1" applyFill="1" applyBorder="1" applyAlignment="1">
      <alignment horizontal="center" vertical="center" wrapText="1"/>
    </xf>
    <xf numFmtId="181" fontId="12" fillId="5" borderId="1" xfId="0" applyNumberFormat="1" applyFont="1" applyFill="1" applyBorder="1" applyAlignment="1" applyProtection="1">
      <alignment vertical="center"/>
    </xf>
    <xf numFmtId="0" fontId="12" fillId="3" borderId="5" xfId="0" applyNumberFormat="1" applyFont="1" applyFill="1" applyBorder="1" applyAlignment="1">
      <alignment horizontal="center" vertical="center" wrapText="1"/>
    </xf>
    <xf numFmtId="0" fontId="12" fillId="5" borderId="3" xfId="0" applyNumberFormat="1" applyFont="1" applyFill="1" applyBorder="1" applyAlignment="1">
      <alignment horizontal="center" vertical="center"/>
    </xf>
    <xf numFmtId="0" fontId="12" fillId="5" borderId="4" xfId="0" applyNumberFormat="1" applyFont="1" applyFill="1" applyBorder="1" applyAlignment="1">
      <alignment horizontal="center" vertical="center"/>
    </xf>
    <xf numFmtId="0" fontId="12" fillId="5" borderId="5" xfId="0" applyNumberFormat="1" applyFont="1" applyFill="1" applyBorder="1" applyAlignment="1">
      <alignment horizontal="center" vertical="center"/>
    </xf>
    <xf numFmtId="0" fontId="23" fillId="0" borderId="0" xfId="0" applyFont="1" applyFill="1" applyBorder="1">
      <alignment vertical="center"/>
    </xf>
    <xf numFmtId="0" fontId="24" fillId="2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right" vertical="center"/>
    </xf>
    <xf numFmtId="0" fontId="26" fillId="0" borderId="0" xfId="0" applyFont="1" applyFill="1" applyBorder="1" applyAlignment="1">
      <alignment horizontal="left" vertical="center"/>
    </xf>
    <xf numFmtId="177" fontId="27" fillId="3" borderId="1" xfId="0" applyNumberFormat="1" applyFont="1" applyFill="1" applyBorder="1" applyAlignment="1">
      <alignment horizontal="center" vertical="center"/>
    </xf>
    <xf numFmtId="0" fontId="24" fillId="2" borderId="0" xfId="0" applyNumberFormat="1" applyFont="1" applyFill="1" applyBorder="1" applyAlignment="1">
      <alignment horizontal="center" vertical="center"/>
    </xf>
    <xf numFmtId="49" fontId="28" fillId="5" borderId="0" xfId="0" applyNumberFormat="1" applyFont="1" applyFill="1" applyAlignment="1">
      <alignment horizontal="left" vertical="center"/>
    </xf>
    <xf numFmtId="0" fontId="29" fillId="0" borderId="0" xfId="0" applyFont="1" applyFill="1" applyAlignment="1">
      <alignment horizontal="left" vertical="center"/>
    </xf>
    <xf numFmtId="0" fontId="29" fillId="0" borderId="0" xfId="0" applyFont="1" applyFill="1">
      <alignment vertical="center"/>
    </xf>
    <xf numFmtId="0" fontId="25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0" borderId="0" xfId="0" applyFont="1" applyFill="1">
      <alignment vertical="center"/>
    </xf>
    <xf numFmtId="176" fontId="0" fillId="0" borderId="0" xfId="0" applyNumberFormat="1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left" vertical="center"/>
    </xf>
    <xf numFmtId="0" fontId="31" fillId="0" borderId="1" xfId="0" applyFont="1" applyFill="1" applyBorder="1" applyAlignment="1">
      <alignment horizontal="center" vertical="center"/>
    </xf>
    <xf numFmtId="176" fontId="31" fillId="0" borderId="1" xfId="0" applyNumberFormat="1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>
      <alignment horizontal="center"/>
    </xf>
    <xf numFmtId="179" fontId="25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>
      <alignment vertical="center"/>
    </xf>
    <xf numFmtId="0" fontId="30" fillId="0" borderId="0" xfId="0" applyFont="1" applyFill="1" applyBorder="1" applyAlignment="1">
      <alignment vertical="center"/>
    </xf>
    <xf numFmtId="0" fontId="25" fillId="3" borderId="1" xfId="0" applyNumberFormat="1" applyFont="1" applyFill="1" applyBorder="1" applyAlignment="1" applyProtection="1">
      <alignment horizontal="center" vertical="center"/>
    </xf>
    <xf numFmtId="0" fontId="25" fillId="0" borderId="0" xfId="0" applyFont="1" applyFill="1">
      <alignment vertical="center"/>
    </xf>
    <xf numFmtId="0" fontId="34" fillId="0" borderId="0" xfId="0" applyFont="1" applyFill="1" applyBorder="1" applyAlignment="1">
      <alignment horizontal="center"/>
    </xf>
    <xf numFmtId="0" fontId="35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left"/>
    </xf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177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14" fillId="0" borderId="1" xfId="0" applyFont="1" applyBorder="1" applyAlignment="1">
      <alignment horizontal="left" vertical="center" wrapText="1"/>
    </xf>
    <xf numFmtId="0" fontId="18" fillId="0" borderId="0" xfId="0" applyFont="1" applyBorder="1" applyAlignment="1">
      <alignment vertical="center"/>
    </xf>
    <xf numFmtId="0" fontId="14" fillId="0" borderId="6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/>
    </xf>
    <xf numFmtId="182" fontId="17" fillId="0" borderId="0" xfId="0" applyNumberFormat="1" applyFont="1" applyBorder="1" applyAlignment="1">
      <alignment vertical="center"/>
    </xf>
    <xf numFmtId="182" fontId="3" fillId="0" borderId="0" xfId="0" applyNumberFormat="1" applyFont="1" applyBorder="1" applyAlignment="1">
      <alignment vertical="center"/>
    </xf>
    <xf numFmtId="31" fontId="14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36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7" fillId="0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39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37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1" fillId="0" borderId="1" xfId="0" applyFont="1" applyBorder="1" applyAlignment="1">
      <alignment horizontal="left" vertical="center"/>
    </xf>
    <xf numFmtId="0" fontId="41" fillId="0" borderId="0" xfId="0" applyFont="1">
      <alignment vertical="center"/>
    </xf>
    <xf numFmtId="0" fontId="18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9" fillId="3" borderId="1" xfId="0" applyFont="1" applyFill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14" fillId="0" borderId="8" xfId="0" applyFont="1" applyBorder="1" applyAlignment="1">
      <alignment horizontal="left" vertical="top" wrapText="1"/>
    </xf>
    <xf numFmtId="0" fontId="34" fillId="0" borderId="0" xfId="0" applyFont="1" applyFill="1">
      <alignment vertical="center"/>
    </xf>
    <xf numFmtId="0" fontId="5" fillId="0" borderId="0" xfId="0" applyFont="1" applyFill="1" applyBorder="1" applyAlignment="1">
      <alignment horizontal="center"/>
    </xf>
    <xf numFmtId="31" fontId="17" fillId="0" borderId="0" xfId="0" applyNumberFormat="1" applyFont="1" applyBorder="1" applyAlignment="1">
      <alignment horizontal="left" vertical="center"/>
    </xf>
    <xf numFmtId="0" fontId="35" fillId="0" borderId="0" xfId="0" applyFont="1" applyFill="1">
      <alignment vertical="center"/>
    </xf>
    <xf numFmtId="0" fontId="42" fillId="0" borderId="1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</cellXfs>
  <cellStyles count="9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" xfId="61"/>
    <cellStyle name="常规 2 2 2 2" xfId="62"/>
    <cellStyle name="常规 2 2 2 2 2" xfId="63"/>
    <cellStyle name="常规 2 2 2 2 2 2" xfId="64"/>
    <cellStyle name="常规 2 2 2 2 2 2 2" xfId="65"/>
    <cellStyle name="常规 20" xfId="66"/>
    <cellStyle name="常规 21" xfId="67"/>
    <cellStyle name="常规 22" xfId="68"/>
    <cellStyle name="常规 23" xfId="69"/>
    <cellStyle name="常规 24" xfId="70"/>
    <cellStyle name="常规 25" xfId="71"/>
    <cellStyle name="常规 26" xfId="72"/>
    <cellStyle name="常规 27" xfId="73"/>
    <cellStyle name="常规 28" xfId="74"/>
    <cellStyle name="常规 29" xfId="75"/>
    <cellStyle name="常规 3" xfId="76"/>
    <cellStyle name="常规 30" xfId="77"/>
    <cellStyle name="常规 31" xfId="78"/>
    <cellStyle name="常规 32" xfId="79"/>
    <cellStyle name="常规 32 2" xfId="80"/>
    <cellStyle name="常规 33" xfId="81"/>
    <cellStyle name="常规 34" xfId="82"/>
    <cellStyle name="常规 35" xfId="83"/>
    <cellStyle name="常规 36" xfId="84"/>
    <cellStyle name="常规 37" xfId="85"/>
    <cellStyle name="常规 38" xfId="86"/>
    <cellStyle name="常规 4" xfId="87"/>
    <cellStyle name="常规 5" xfId="88"/>
    <cellStyle name="常规 6" xfId="89"/>
    <cellStyle name="常规 7" xfId="90"/>
    <cellStyle name="常规 8" xfId="91"/>
    <cellStyle name="常规 9" xfId="92"/>
    <cellStyle name="常规 9 2" xfId="93"/>
    <cellStyle name="常规 9 2 2" xfId="94"/>
    <cellStyle name="常规 9 2 2 2" xfId="95"/>
    <cellStyle name="常规 9 2 2 2 2" xfId="96"/>
    <cellStyle name="常规 9 2 2 2 2 2" xfId="97"/>
  </cellStyles>
  <dxfs count="1">
    <dxf>
      <fill>
        <patternFill patternType="solid">
          <bgColor rgb="FFFF9900"/>
        </patternFill>
      </fill>
    </dxf>
  </dxfs>
  <tableStyles count="1" defaultTableStyle="TableStyleMedium9" defaultPivotStyle="PivotStyleLight16">
    <tableStyle name="数据透视表样式 1" table="0" count="0" xr9:uid="{88F3833E-9C27-4A37-A96C-974FE49DC297}"/>
  </tableStyles>
  <colors>
    <mruColors>
      <color rgb="00FF00FF"/>
      <color rgb="0012AA06"/>
      <color rgb="00FFFFCC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69272</xdr:colOff>
      <xdr:row>1</xdr:row>
      <xdr:rowOff>78221</xdr:rowOff>
    </xdr:from>
    <xdr:to>
      <xdr:col>1</xdr:col>
      <xdr:colOff>1402809</xdr:colOff>
      <xdr:row>3</xdr:row>
      <xdr:rowOff>269959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97840" y="459105"/>
          <a:ext cx="1333500" cy="9537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23812</xdr:colOff>
      <xdr:row>6</xdr:row>
      <xdr:rowOff>0</xdr:rowOff>
    </xdr:from>
    <xdr:to>
      <xdr:col>18</xdr:col>
      <xdr:colOff>665606</xdr:colOff>
      <xdr:row>12</xdr:row>
      <xdr:rowOff>281421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12358370" y="2286000"/>
          <a:ext cx="9795510" cy="24771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34636</xdr:colOff>
      <xdr:row>13</xdr:row>
      <xdr:rowOff>103908</xdr:rowOff>
    </xdr:from>
    <xdr:to>
      <xdr:col>22</xdr:col>
      <xdr:colOff>179858</xdr:colOff>
      <xdr:row>16</xdr:row>
      <xdr:rowOff>17318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12369165" y="4940300"/>
          <a:ext cx="12042140" cy="9759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751840</xdr:colOff>
      <xdr:row>0</xdr:row>
      <xdr:rowOff>63500</xdr:rowOff>
    </xdr:from>
    <xdr:to>
      <xdr:col>1</xdr:col>
      <xdr:colOff>446708</xdr:colOff>
      <xdr:row>1</xdr:row>
      <xdr:rowOff>311921</xdr:rowOff>
    </xdr:to>
    <xdr:pic>
      <xdr:nvPicPr>
        <xdr:cNvPr id="41309" name="Picture 1" descr="杭萧标志4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751840" y="63500"/>
          <a:ext cx="513715" cy="5149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4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123825</xdr:colOff>
      <xdr:row>1</xdr:row>
      <xdr:rowOff>47624</xdr:rowOff>
    </xdr:from>
    <xdr:to>
      <xdr:col>1</xdr:col>
      <xdr:colOff>784638</xdr:colOff>
      <xdr:row>2</xdr:row>
      <xdr:rowOff>204107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23825" y="427990"/>
          <a:ext cx="1089025" cy="793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00B0F0"/>
  </sheetPr>
  <dimension ref="A1:AF104"/>
  <sheetViews>
    <sheetView tabSelected="1" view="pageBreakPreview" zoomScale="85" zoomScaleNormal="100" topLeftCell="A17" workbookViewId="0">
      <selection activeCell="I23" sqref="I23:J23"/>
    </sheetView>
  </sheetViews>
  <sheetFormatPr defaultColWidth="9" defaultRowHeight="15.75"/>
  <cols>
    <col min="1" max="1" width="5.625" style="89" customWidth="1"/>
    <col min="2" max="2" width="21.625" style="89" customWidth="1"/>
    <col min="3" max="3" width="12.625" style="89" customWidth="1"/>
    <col min="4" max="5" width="14.625" style="89" customWidth="1"/>
    <col min="6" max="6" width="20.625" style="89" customWidth="1"/>
    <col min="7" max="7" width="12.625" style="89" customWidth="1"/>
    <col min="8" max="8" width="15.625" style="89" customWidth="1"/>
    <col min="9" max="9" width="25.625" style="89" customWidth="1"/>
    <col min="10" max="10" width="12.625" style="107" customWidth="1"/>
    <col min="11" max="11" width="5.625" style="107" customWidth="1"/>
    <col min="12" max="12" width="40.625" style="87" customWidth="1"/>
    <col min="13" max="13" width="30.75" style="87" customWidth="1"/>
    <col min="14" max="14" width="12.75" style="87" customWidth="1"/>
    <col min="15" max="26" width="9" style="87"/>
    <col min="27" max="27" width="15.125" style="87" customWidth="1"/>
    <col min="28" max="16384" width="9" style="87"/>
  </cols>
  <sheetData>
    <row r="1" ht="30" customHeight="1" spans="1:31">
      <c r="A1" s="108"/>
      <c r="B1" s="109" t="s">
        <v>0</v>
      </c>
      <c r="C1" s="109"/>
      <c r="D1" s="109"/>
      <c r="E1" s="109"/>
      <c r="F1" s="109"/>
      <c r="G1" s="109"/>
      <c r="H1" s="109"/>
      <c r="I1" s="109"/>
      <c r="J1" s="109"/>
      <c r="K1" s="108"/>
      <c r="L1" s="138" t="s">
        <v>1</v>
      </c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</row>
    <row r="2" s="104" customFormat="1" ht="30" customHeight="1" spans="1:31">
      <c r="A2" s="36"/>
      <c r="B2" s="110" t="s">
        <v>2</v>
      </c>
      <c r="C2" s="110"/>
      <c r="D2" s="110"/>
      <c r="E2" s="110"/>
      <c r="F2" s="110"/>
      <c r="G2" s="110"/>
      <c r="H2" s="110"/>
      <c r="I2" s="110"/>
      <c r="J2" s="110"/>
      <c r="K2" s="36"/>
      <c r="L2" s="139" t="s">
        <v>3</v>
      </c>
      <c r="M2" s="140" t="s">
        <v>4</v>
      </c>
      <c r="N2" s="141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64"/>
      <c r="AB2" s="164"/>
      <c r="AC2" s="164"/>
      <c r="AD2" s="164"/>
      <c r="AE2" s="164"/>
    </row>
    <row r="3" s="105" customFormat="1" ht="30" customHeight="1" spans="1:32">
      <c r="A3" s="36"/>
      <c r="B3" s="110"/>
      <c r="C3" s="110"/>
      <c r="D3" s="110"/>
      <c r="E3" s="110"/>
      <c r="F3" s="110"/>
      <c r="G3" s="110"/>
      <c r="H3" s="110"/>
      <c r="I3" s="110"/>
      <c r="J3" s="110"/>
      <c r="K3" s="36"/>
      <c r="L3" s="139" t="s">
        <v>5</v>
      </c>
      <c r="M3" s="140" t="s">
        <v>4</v>
      </c>
      <c r="N3" s="141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61"/>
      <c r="AB3" s="161"/>
      <c r="AC3" s="161"/>
      <c r="AD3" s="161"/>
      <c r="AE3" s="161"/>
      <c r="AF3" s="161"/>
    </row>
    <row r="4" s="106" customFormat="1" ht="30" customHeight="1" spans="1:32">
      <c r="A4" s="36"/>
      <c r="B4" s="110"/>
      <c r="C4" s="110"/>
      <c r="D4" s="110"/>
      <c r="E4" s="110"/>
      <c r="F4" s="110"/>
      <c r="G4" s="110"/>
      <c r="H4" s="110"/>
      <c r="I4" s="110"/>
      <c r="J4" s="110"/>
      <c r="K4" s="36"/>
      <c r="L4" s="139" t="s">
        <v>6</v>
      </c>
      <c r="M4" s="140" t="s">
        <v>7</v>
      </c>
      <c r="N4" s="144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64"/>
      <c r="AB4" s="164"/>
      <c r="AC4" s="164"/>
      <c r="AD4" s="164"/>
      <c r="AE4" s="164"/>
      <c r="AF4" s="164"/>
    </row>
    <row r="5" s="106" customFormat="1" ht="30" customHeight="1" spans="1:32">
      <c r="A5" s="36"/>
      <c r="B5" s="110"/>
      <c r="C5" s="110"/>
      <c r="D5" s="110"/>
      <c r="E5" s="110"/>
      <c r="F5" s="110"/>
      <c r="G5" s="110"/>
      <c r="H5" s="110"/>
      <c r="I5" s="110"/>
      <c r="J5" s="110"/>
      <c r="K5" s="36"/>
      <c r="L5" s="145"/>
      <c r="M5" s="146"/>
      <c r="N5" s="144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64"/>
      <c r="AB5" s="164"/>
      <c r="AC5" s="164"/>
      <c r="AD5" s="164"/>
      <c r="AE5" s="164"/>
      <c r="AF5" s="164"/>
    </row>
    <row r="6" ht="30" customHeight="1" spans="1:13">
      <c r="A6" s="36"/>
      <c r="B6" s="110"/>
      <c r="C6" s="110"/>
      <c r="D6" s="110"/>
      <c r="E6" s="110"/>
      <c r="F6" s="110"/>
      <c r="G6" s="110"/>
      <c r="H6" s="110"/>
      <c r="I6" s="110"/>
      <c r="J6" s="110"/>
      <c r="K6" s="36"/>
      <c r="L6" s="141"/>
      <c r="M6" s="141"/>
    </row>
    <row r="7" s="106" customFormat="1" ht="30" customHeight="1" spans="1:32">
      <c r="A7" s="111"/>
      <c r="B7" s="112" t="s">
        <v>8</v>
      </c>
      <c r="C7" s="113" t="s">
        <v>9</v>
      </c>
      <c r="D7" s="113"/>
      <c r="E7" s="113"/>
      <c r="F7" s="113"/>
      <c r="G7" s="113"/>
      <c r="H7" s="113"/>
      <c r="I7" s="113"/>
      <c r="J7" s="113"/>
      <c r="K7" s="147"/>
      <c r="AF7" s="164"/>
    </row>
    <row r="8" s="106" customFormat="1" ht="30" customHeight="1" spans="1:32">
      <c r="A8" s="111"/>
      <c r="B8" s="114" t="s">
        <v>10</v>
      </c>
      <c r="C8" s="115" t="s">
        <v>11</v>
      </c>
      <c r="D8" s="115"/>
      <c r="E8" s="115"/>
      <c r="F8" s="115"/>
      <c r="G8" s="115"/>
      <c r="H8" s="115"/>
      <c r="I8" s="115"/>
      <c r="J8" s="115"/>
      <c r="K8" s="147"/>
      <c r="AF8" s="164"/>
    </row>
    <row r="9" s="106" customFormat="1" ht="24.95" customHeight="1" spans="1:32">
      <c r="A9" s="111"/>
      <c r="B9" s="114"/>
      <c r="C9" s="116"/>
      <c r="D9" s="116"/>
      <c r="E9" s="116"/>
      <c r="F9" s="116"/>
      <c r="G9" s="116"/>
      <c r="H9" s="116"/>
      <c r="I9" s="116"/>
      <c r="J9" s="116"/>
      <c r="K9" s="147"/>
      <c r="AF9" s="164"/>
    </row>
    <row r="10" s="105" customFormat="1" ht="30" customHeight="1" spans="1:32">
      <c r="A10" s="117"/>
      <c r="B10" s="118" t="s">
        <v>12</v>
      </c>
      <c r="C10" s="119" t="s">
        <v>13</v>
      </c>
      <c r="D10" s="119" t="s">
        <v>14</v>
      </c>
      <c r="E10" s="119" t="s">
        <v>15</v>
      </c>
      <c r="F10" s="119" t="s">
        <v>16</v>
      </c>
      <c r="G10" s="119"/>
      <c r="H10" s="119" t="s">
        <v>17</v>
      </c>
      <c r="I10" s="119" t="s">
        <v>18</v>
      </c>
      <c r="J10" s="119" t="s">
        <v>19</v>
      </c>
      <c r="K10" s="148"/>
      <c r="AF10" s="161"/>
    </row>
    <row r="11" s="105" customFormat="1" ht="30" customHeight="1" spans="1:32">
      <c r="A11" s="117"/>
      <c r="B11" s="118"/>
      <c r="C11" s="120">
        <v>1</v>
      </c>
      <c r="D11" s="120" t="s">
        <v>20</v>
      </c>
      <c r="E11" s="121" t="s">
        <v>21</v>
      </c>
      <c r="F11" s="122" t="s">
        <v>22</v>
      </c>
      <c r="G11" s="123"/>
      <c r="H11" s="124">
        <f>'结算清单(总构件清单)'!I401</f>
        <v>756132.6</v>
      </c>
      <c r="I11" s="149" t="str">
        <f>C8</f>
        <v>HA24575</v>
      </c>
      <c r="J11" s="150" t="s">
        <v>23</v>
      </c>
      <c r="K11" s="148"/>
      <c r="L11" s="141"/>
      <c r="M11" s="141"/>
      <c r="N11" s="141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61"/>
      <c r="AB11" s="161"/>
      <c r="AC11" s="161"/>
      <c r="AD11" s="161"/>
      <c r="AE11" s="161"/>
      <c r="AF11" s="161"/>
    </row>
    <row r="12" ht="27.95" customHeight="1" spans="1:26">
      <c r="A12" s="117" t="s">
        <v>24</v>
      </c>
      <c r="B12" s="118"/>
      <c r="C12" s="120">
        <v>2</v>
      </c>
      <c r="D12" s="125" t="s">
        <v>25</v>
      </c>
      <c r="E12" s="121" t="s">
        <v>26</v>
      </c>
      <c r="F12" s="122" t="s">
        <v>27</v>
      </c>
      <c r="G12" s="122"/>
      <c r="H12" s="124">
        <f>'构件清单-1（普通构件）'!I327</f>
        <v>740279.4</v>
      </c>
      <c r="I12" s="149" t="str">
        <f>C8</f>
        <v>HA24575</v>
      </c>
      <c r="J12" s="150" t="s">
        <v>23</v>
      </c>
      <c r="K12" s="151"/>
      <c r="L12" s="152"/>
      <c r="M12" s="152"/>
      <c r="N12" s="152"/>
      <c r="O12" s="143"/>
      <c r="P12" s="143"/>
      <c r="Q12" s="143"/>
      <c r="R12" s="143" t="s">
        <v>24</v>
      </c>
      <c r="S12" s="143"/>
      <c r="T12" s="143"/>
      <c r="U12" s="143"/>
      <c r="V12" s="143"/>
      <c r="W12" s="143"/>
      <c r="X12" s="143"/>
      <c r="Y12" s="143"/>
      <c r="Z12" s="143"/>
    </row>
    <row r="13" ht="27.95" customHeight="1" spans="1:26">
      <c r="A13" s="117"/>
      <c r="B13" s="118"/>
      <c r="C13" s="120">
        <v>3</v>
      </c>
      <c r="D13" s="125"/>
      <c r="E13" s="121" t="s">
        <v>28</v>
      </c>
      <c r="F13" s="122" t="s">
        <v>29</v>
      </c>
      <c r="G13" s="122"/>
      <c r="H13" s="124">
        <f>'构件清单-2（外购材料构件）'!I31</f>
        <v>0</v>
      </c>
      <c r="I13" s="153" t="str">
        <f>C8&amp;"W"</f>
        <v>HA24575W</v>
      </c>
      <c r="J13" s="150" t="s">
        <v>30</v>
      </c>
      <c r="K13" s="151"/>
      <c r="L13" s="154" t="s">
        <v>24</v>
      </c>
      <c r="M13" s="152"/>
      <c r="N13" s="152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ht="27.95" customHeight="1" spans="1:26">
      <c r="A14" s="117" t="s">
        <v>24</v>
      </c>
      <c r="B14" s="118"/>
      <c r="C14" s="120">
        <v>4</v>
      </c>
      <c r="D14" s="125"/>
      <c r="E14" s="121" t="s">
        <v>31</v>
      </c>
      <c r="F14" s="122" t="s">
        <v>32</v>
      </c>
      <c r="G14" s="122"/>
      <c r="H14" s="124">
        <f>'构件清单-3（箱型构件）'!I42</f>
        <v>0</v>
      </c>
      <c r="I14" s="153" t="str">
        <f>C8&amp;"X"</f>
        <v>HA24575X</v>
      </c>
      <c r="J14" s="150" t="s">
        <v>30</v>
      </c>
      <c r="K14" s="151"/>
      <c r="L14" s="152"/>
      <c r="M14" s="152"/>
      <c r="N14" s="152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ht="27.95" customHeight="1" spans="1:26">
      <c r="A15" s="126"/>
      <c r="B15" s="118"/>
      <c r="C15" s="120">
        <v>5</v>
      </c>
      <c r="D15" s="125"/>
      <c r="E15" s="121" t="s">
        <v>33</v>
      </c>
      <c r="F15" s="122" t="s">
        <v>34</v>
      </c>
      <c r="G15" s="122"/>
      <c r="H15" s="124">
        <f>'构件清单-4（钢梯&amp;栏杆）'!I81</f>
        <v>15853.2</v>
      </c>
      <c r="I15" s="153" t="str">
        <f>C8&amp;"T"</f>
        <v>HA24575T</v>
      </c>
      <c r="J15" s="150" t="s">
        <v>23</v>
      </c>
      <c r="K15" s="151"/>
      <c r="L15" s="152"/>
      <c r="M15" s="152"/>
      <c r="N15" s="152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ht="27.75" customHeight="1" spans="1:26">
      <c r="A16" s="126"/>
      <c r="B16" s="118"/>
      <c r="C16" s="120">
        <v>6</v>
      </c>
      <c r="D16" s="125"/>
      <c r="E16" s="121" t="s">
        <v>35</v>
      </c>
      <c r="F16" s="122" t="s">
        <v>36</v>
      </c>
      <c r="G16" s="122"/>
      <c r="H16" s="124">
        <f>'构件清单-5（檩条&amp;拉条）'!I42</f>
        <v>0</v>
      </c>
      <c r="I16" s="149" t="str">
        <f>C8</f>
        <v>HA24575</v>
      </c>
      <c r="J16" s="150" t="s">
        <v>30</v>
      </c>
      <c r="K16" s="151"/>
      <c r="L16" s="152"/>
      <c r="M16" s="155"/>
      <c r="N16" s="152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ht="27.95" customHeight="1" spans="1:26">
      <c r="A17" s="126"/>
      <c r="B17" s="118"/>
      <c r="C17" s="120">
        <v>7</v>
      </c>
      <c r="D17" s="120" t="s">
        <v>37</v>
      </c>
      <c r="E17" s="121" t="s">
        <v>38</v>
      </c>
      <c r="F17" s="122" t="s">
        <v>39</v>
      </c>
      <c r="G17" s="122"/>
      <c r="H17" s="124">
        <f>零件清单!I214</f>
        <v>95700.4</v>
      </c>
      <c r="I17" s="149" t="str">
        <f>C8</f>
        <v>HA24575</v>
      </c>
      <c r="J17" s="150" t="s">
        <v>23</v>
      </c>
      <c r="K17" s="151"/>
      <c r="L17" s="152"/>
      <c r="M17" s="152"/>
      <c r="N17" s="152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ht="27.95" customHeight="1" spans="1:26">
      <c r="A18" s="126"/>
      <c r="B18" s="118"/>
      <c r="C18" s="120">
        <v>8</v>
      </c>
      <c r="D18" s="120" t="s">
        <v>40</v>
      </c>
      <c r="E18" s="121" t="s">
        <v>41</v>
      </c>
      <c r="F18" s="122" t="s">
        <v>42</v>
      </c>
      <c r="G18" s="122"/>
      <c r="H18" s="124">
        <f>组立清单!I104</f>
        <v>642007.2270205</v>
      </c>
      <c r="I18" s="149" t="str">
        <f>C8</f>
        <v>HA24575</v>
      </c>
      <c r="J18" s="150" t="s">
        <v>23</v>
      </c>
      <c r="K18" s="151"/>
      <c r="L18" s="152"/>
      <c r="M18" s="152"/>
      <c r="N18" s="152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ht="27.95" customHeight="1" spans="1:26">
      <c r="A19" s="126"/>
      <c r="B19" s="118"/>
      <c r="C19" s="120">
        <v>9</v>
      </c>
      <c r="D19" s="120" t="s">
        <v>43</v>
      </c>
      <c r="E19" s="121" t="s">
        <v>44</v>
      </c>
      <c r="F19" s="122" t="s">
        <v>45</v>
      </c>
      <c r="G19" s="122"/>
      <c r="H19" s="124">
        <f>排板清单!H122</f>
        <v>702538.226675</v>
      </c>
      <c r="I19" s="149" t="str">
        <f>C8</f>
        <v>HA24575</v>
      </c>
      <c r="J19" s="150" t="s">
        <v>23</v>
      </c>
      <c r="K19" s="151"/>
      <c r="L19" s="152"/>
      <c r="M19" s="152"/>
      <c r="N19" s="152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ht="27.95" customHeight="1" spans="1:26">
      <c r="A20" s="126"/>
      <c r="B20" s="127" t="s">
        <v>24</v>
      </c>
      <c r="C20" s="127"/>
      <c r="D20" s="127"/>
      <c r="E20" s="127"/>
      <c r="F20" s="127"/>
      <c r="G20" s="127"/>
      <c r="H20" s="127"/>
      <c r="I20" s="127"/>
      <c r="J20" s="127"/>
      <c r="K20" s="151"/>
      <c r="L20" s="156" t="s">
        <v>46</v>
      </c>
      <c r="M20" s="151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43"/>
    </row>
    <row r="21" s="105" customFormat="1" ht="120" customHeight="1" spans="1:27">
      <c r="A21" s="117"/>
      <c r="B21" s="128" t="s">
        <v>6</v>
      </c>
      <c r="C21" s="125" t="s">
        <v>47</v>
      </c>
      <c r="D21" s="129" t="s">
        <v>48</v>
      </c>
      <c r="E21" s="129"/>
      <c r="F21" s="129"/>
      <c r="G21" s="129"/>
      <c r="H21" s="129"/>
      <c r="I21" s="129"/>
      <c r="J21" s="129"/>
      <c r="K21" s="148"/>
      <c r="L21" s="157" t="s">
        <v>49</v>
      </c>
      <c r="M21" s="158" t="s">
        <v>50</v>
      </c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65" t="s">
        <v>51</v>
      </c>
    </row>
    <row r="22" s="105" customFormat="1" ht="99.95" customHeight="1" spans="1:27">
      <c r="A22" s="117"/>
      <c r="B22" s="118"/>
      <c r="C22" s="125" t="s">
        <v>52</v>
      </c>
      <c r="D22" s="129" t="s">
        <v>53</v>
      </c>
      <c r="E22" s="129"/>
      <c r="F22" s="129"/>
      <c r="G22" s="129"/>
      <c r="H22" s="129"/>
      <c r="I22" s="129"/>
      <c r="J22" s="129"/>
      <c r="K22" s="148"/>
      <c r="L22" s="157" t="s">
        <v>54</v>
      </c>
      <c r="M22" s="159" t="s">
        <v>55</v>
      </c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66"/>
    </row>
    <row r="23" s="105" customFormat="1" ht="350.1" customHeight="1" spans="1:27">
      <c r="A23" s="130"/>
      <c r="B23" s="118"/>
      <c r="C23" s="125" t="s">
        <v>56</v>
      </c>
      <c r="D23" s="131" t="s">
        <v>57</v>
      </c>
      <c r="E23" s="132"/>
      <c r="F23" s="132"/>
      <c r="G23" s="132"/>
      <c r="H23" s="132"/>
      <c r="I23" s="132"/>
      <c r="J23" s="160"/>
      <c r="K23" s="148"/>
      <c r="L23" s="157" t="s">
        <v>58</v>
      </c>
      <c r="M23" s="159" t="s">
        <v>59</v>
      </c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65" t="s">
        <v>60</v>
      </c>
    </row>
    <row r="24" ht="27.95" customHeight="1" spans="1:26">
      <c r="A24" s="126"/>
      <c r="B24" s="127"/>
      <c r="C24" s="127"/>
      <c r="D24" s="127"/>
      <c r="E24" s="127"/>
      <c r="F24" s="127"/>
      <c r="G24" s="127"/>
      <c r="H24" s="127"/>
      <c r="I24" s="127"/>
      <c r="J24" s="127"/>
      <c r="K24" s="151"/>
      <c r="L24" s="156"/>
      <c r="M24" s="151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43"/>
    </row>
    <row r="25" s="105" customFormat="1" ht="54.95" customHeight="1" spans="1:32">
      <c r="A25" s="117" t="s">
        <v>61</v>
      </c>
      <c r="B25" s="118" t="s">
        <v>62</v>
      </c>
      <c r="C25" s="133"/>
      <c r="D25" s="133"/>
      <c r="E25" s="133"/>
      <c r="F25" s="133"/>
      <c r="G25" s="127" t="s">
        <v>63</v>
      </c>
      <c r="H25" s="127"/>
      <c r="I25" s="133"/>
      <c r="J25" s="133"/>
      <c r="K25" s="148"/>
      <c r="AB25" s="143"/>
      <c r="AC25" s="161"/>
      <c r="AD25" s="161"/>
      <c r="AE25" s="161"/>
      <c r="AF25" s="161"/>
    </row>
    <row r="26" s="105" customFormat="1" ht="54.95" customHeight="1" spans="1:28">
      <c r="A26" s="117" t="s">
        <v>61</v>
      </c>
      <c r="B26" s="118" t="s">
        <v>64</v>
      </c>
      <c r="C26" s="127"/>
      <c r="D26" s="127"/>
      <c r="E26" s="127"/>
      <c r="F26" s="127"/>
      <c r="G26" s="127"/>
      <c r="H26" s="127"/>
      <c r="I26" s="127"/>
      <c r="J26" s="127"/>
      <c r="K26" s="148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43"/>
      <c r="Z26" s="143"/>
      <c r="AA26" s="143"/>
      <c r="AB26" s="143"/>
    </row>
    <row r="27" s="105" customFormat="1" ht="54.95" customHeight="1" spans="1:26">
      <c r="A27" s="117" t="s">
        <v>61</v>
      </c>
      <c r="B27" s="118" t="s">
        <v>65</v>
      </c>
      <c r="C27" s="127"/>
      <c r="D27" s="127"/>
      <c r="E27" s="127"/>
      <c r="F27" s="127"/>
      <c r="G27" s="127"/>
      <c r="H27" s="127"/>
      <c r="I27" s="127"/>
      <c r="J27" s="127"/>
      <c r="K27" s="148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 s="105" customFormat="1" ht="54.95" customHeight="1" spans="1:26">
      <c r="A28" s="134" t="s">
        <v>61</v>
      </c>
      <c r="B28" s="135" t="s">
        <v>66</v>
      </c>
      <c r="C28" s="136">
        <v>45697</v>
      </c>
      <c r="D28" s="136"/>
      <c r="E28" s="136"/>
      <c r="F28" s="136"/>
      <c r="G28" s="136"/>
      <c r="H28" s="136"/>
      <c r="I28" s="136"/>
      <c r="J28" s="136"/>
      <c r="K28" s="163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 ht="27.95" customHeight="1" spans="1:26">
      <c r="A29" s="126"/>
      <c r="B29" s="127"/>
      <c r="C29" s="127"/>
      <c r="D29" s="127"/>
      <c r="E29" s="127"/>
      <c r="F29" s="127"/>
      <c r="G29" s="127"/>
      <c r="H29" s="127"/>
      <c r="I29" s="127"/>
      <c r="J29" s="127"/>
      <c r="K29" s="151"/>
      <c r="L29" s="156"/>
      <c r="M29" s="151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43"/>
    </row>
    <row r="30" s="105" customFormat="1" ht="30" customHeight="1" spans="1:26">
      <c r="A30" s="137" t="s">
        <v>67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</sheetData>
  <mergeCells count="33">
    <mergeCell ref="B1:J1"/>
    <mergeCell ref="L1:AE1"/>
    <mergeCell ref="C7:J7"/>
    <mergeCell ref="C8:J8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B20:J20"/>
    <mergeCell ref="D21:J21"/>
    <mergeCell ref="M21:Z21"/>
    <mergeCell ref="D22:J22"/>
    <mergeCell ref="M22:Z22"/>
    <mergeCell ref="D23:H23"/>
    <mergeCell ref="I23:J23"/>
    <mergeCell ref="M23:Z23"/>
    <mergeCell ref="B24:J24"/>
    <mergeCell ref="C25:F25"/>
    <mergeCell ref="G25:H25"/>
    <mergeCell ref="I25:J25"/>
    <mergeCell ref="C26:J26"/>
    <mergeCell ref="C27:J27"/>
    <mergeCell ref="C28:J28"/>
    <mergeCell ref="B29:J29"/>
    <mergeCell ref="A30:K30"/>
    <mergeCell ref="D12:D16"/>
    <mergeCell ref="B2:J6"/>
  </mergeCells>
  <printOptions horizontalCentered="1"/>
  <pageMargins left="0.511811023622047" right="0.31496062992126" top="0.393700787401575" bottom="0.393700787401575" header="0.511811023622047" footer="0.15748031496063"/>
  <pageSetup paperSize="9" scale="55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C000"/>
  </sheetPr>
  <dimension ref="A1:GR14"/>
  <sheetViews>
    <sheetView view="pageBreakPreview" zoomScale="130" zoomScaleNormal="100" workbookViewId="0">
      <pane ySplit="6" topLeftCell="A7" activePane="bottomLeft" state="frozen"/>
      <selection/>
      <selection pane="bottomLeft" activeCell="D12" sqref="D12"/>
    </sheetView>
  </sheetViews>
  <sheetFormatPr defaultColWidth="9" defaultRowHeight="15.75"/>
  <cols>
    <col min="1" max="1" width="10.75" style="87" customWidth="1"/>
    <col min="2" max="2" width="13" style="87" customWidth="1"/>
    <col min="3" max="3" width="8.25" style="87" customWidth="1"/>
    <col min="4" max="4" width="8.25" style="88" customWidth="1"/>
    <col min="5" max="5" width="9.75" style="87" customWidth="1"/>
    <col min="6" max="8" width="8.25" style="87" customWidth="1"/>
    <col min="9" max="9" width="11.75" style="87" customWidth="1"/>
    <col min="10" max="10" width="8.5" style="87" customWidth="1"/>
    <col min="11" max="11" width="6.375" style="87" customWidth="1"/>
    <col min="12" max="12" width="7.625" style="87" customWidth="1"/>
    <col min="13" max="16384" width="9" style="87"/>
  </cols>
  <sheetData>
    <row r="1" ht="21" customHeight="1" spans="1:10">
      <c r="A1" s="89" t="e">
        <f>#REF!</f>
        <v>#REF!</v>
      </c>
      <c r="B1" s="89"/>
      <c r="C1" s="89"/>
      <c r="D1" s="89"/>
      <c r="E1" s="89"/>
      <c r="F1" s="89"/>
      <c r="G1" s="89"/>
      <c r="H1" s="89"/>
      <c r="I1" s="89"/>
      <c r="J1" s="89"/>
    </row>
    <row r="2" ht="26.1" customHeight="1" spans="1:10">
      <c r="A2" s="90" t="s">
        <v>68</v>
      </c>
      <c r="B2" s="90"/>
      <c r="C2" s="90"/>
      <c r="D2" s="90"/>
      <c r="E2" s="90"/>
      <c r="F2" s="90"/>
      <c r="G2" s="90"/>
      <c r="H2" s="90"/>
      <c r="I2" s="90"/>
      <c r="J2" s="90"/>
    </row>
    <row r="3" s="82" customFormat="1" ht="17.45" customHeight="1" spans="1:11">
      <c r="A3" s="91" t="str">
        <f>'结算清单(总构件清单)'!A4</f>
        <v>工 程 名 称：</v>
      </c>
      <c r="B3" s="91"/>
      <c r="C3" s="91"/>
      <c r="D3" s="91"/>
      <c r="E3" s="91"/>
      <c r="F3" s="91"/>
      <c r="G3" s="91"/>
      <c r="H3" s="91"/>
      <c r="I3" s="91"/>
      <c r="J3" s="91"/>
      <c r="K3" s="87"/>
    </row>
    <row r="4" s="82" customFormat="1" ht="17.45" customHeight="1" spans="1:11">
      <c r="A4" s="91" t="str">
        <f>'结算清单(总构件清单)'!A5</f>
        <v>工 程 编 号：</v>
      </c>
      <c r="B4" s="91"/>
      <c r="C4" s="91"/>
      <c r="D4" s="91"/>
      <c r="E4" s="91"/>
      <c r="F4" s="91">
        <f>'结算清单(总构件清单)'!F5</f>
        <v>0</v>
      </c>
      <c r="G4" s="91"/>
      <c r="H4" s="91"/>
      <c r="I4" s="102"/>
      <c r="J4" s="91"/>
      <c r="K4" s="87"/>
    </row>
    <row r="5" s="83" customFormat="1" ht="17.45" customHeight="1" spans="1:11">
      <c r="A5" s="91" t="e">
        <f>'结算清单(总构件清单)'!#REF!</f>
        <v>#REF!</v>
      </c>
      <c r="B5" s="91"/>
      <c r="C5" s="91"/>
      <c r="D5" s="91"/>
      <c r="E5" s="91"/>
      <c r="F5" s="91" t="e">
        <f>'结算清单(总构件清单)'!#REF!</f>
        <v>#REF!</v>
      </c>
      <c r="G5" s="91"/>
      <c r="H5" s="91"/>
      <c r="I5" s="102"/>
      <c r="J5" s="91"/>
      <c r="K5" s="87"/>
    </row>
    <row r="6" s="84" customFormat="1" ht="15.95" customHeight="1" spans="1:11">
      <c r="A6" s="92" t="s">
        <v>69</v>
      </c>
      <c r="B6" s="92" t="s">
        <v>70</v>
      </c>
      <c r="C6" s="92" t="s">
        <v>71</v>
      </c>
      <c r="D6" s="93" t="s">
        <v>72</v>
      </c>
      <c r="E6" s="92" t="s">
        <v>73</v>
      </c>
      <c r="F6" s="92" t="s">
        <v>74</v>
      </c>
      <c r="G6" s="92" t="s">
        <v>75</v>
      </c>
      <c r="H6" s="92" t="s">
        <v>76</v>
      </c>
      <c r="I6" s="92" t="s">
        <v>77</v>
      </c>
      <c r="J6" s="92"/>
      <c r="K6" s="86"/>
    </row>
    <row r="7" s="85" customFormat="1" ht="15.95" customHeight="1" spans="1:200">
      <c r="A7" s="94" t="s">
        <v>78</v>
      </c>
      <c r="B7" s="95" t="s">
        <v>79</v>
      </c>
      <c r="C7" s="96" t="s">
        <v>80</v>
      </c>
      <c r="D7" s="97">
        <f>SUMIFS('结算清单(总构件清单)'!F:F,'结算清单(总构件清单)'!C:C,A7)</f>
        <v>0</v>
      </c>
      <c r="E7" s="96" t="s">
        <v>81</v>
      </c>
      <c r="G7" s="98"/>
      <c r="H7" s="99"/>
      <c r="I7" s="99"/>
      <c r="J7" s="99"/>
      <c r="K7" s="103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  <c r="FU7" s="86"/>
      <c r="FV7" s="86"/>
      <c r="FW7" s="86"/>
      <c r="FX7" s="86"/>
      <c r="FY7" s="86"/>
      <c r="FZ7" s="86"/>
      <c r="GA7" s="86"/>
      <c r="GB7" s="86"/>
      <c r="GC7" s="86"/>
      <c r="GD7" s="86"/>
      <c r="GE7" s="86"/>
      <c r="GF7" s="86"/>
      <c r="GG7" s="86"/>
      <c r="GH7" s="86"/>
      <c r="GI7" s="86"/>
      <c r="GJ7" s="86"/>
      <c r="GK7" s="86"/>
      <c r="GL7" s="86"/>
      <c r="GM7" s="86"/>
      <c r="GN7" s="86"/>
      <c r="GO7" s="86"/>
      <c r="GP7" s="86"/>
      <c r="GQ7" s="86"/>
      <c r="GR7" s="86"/>
    </row>
    <row r="8" s="84" customFormat="1" ht="15.95" customHeight="1" spans="1:11">
      <c r="A8" s="97"/>
      <c r="B8" s="97"/>
      <c r="C8" s="97"/>
      <c r="D8" s="97"/>
      <c r="E8" s="97"/>
      <c r="K8" s="97"/>
    </row>
    <row r="9" s="84" customFormat="1" ht="15.95" customHeight="1" spans="1:11">
      <c r="A9" s="97"/>
      <c r="B9" s="100"/>
      <c r="C9" s="97"/>
      <c r="D9" s="100"/>
      <c r="E9" s="100"/>
      <c r="K9" s="97"/>
    </row>
    <row r="10" s="84" customFormat="1" ht="15.95" customHeight="1" spans="1:11">
      <c r="A10" s="97"/>
      <c r="B10" s="100"/>
      <c r="C10" s="97"/>
      <c r="D10" s="100"/>
      <c r="E10" s="100"/>
      <c r="K10" s="97"/>
    </row>
    <row r="11" s="86" customFormat="1" spans="4:4">
      <c r="D11" s="101"/>
    </row>
    <row r="12" s="86" customFormat="1" spans="4:4">
      <c r="D12" s="101"/>
    </row>
    <row r="13" s="86" customFormat="1" spans="4:4">
      <c r="D13" s="101"/>
    </row>
    <row r="14" s="86" customFormat="1" spans="4:4">
      <c r="D14" s="101"/>
    </row>
  </sheetData>
  <autoFilter xmlns:etc="http://www.wps.cn/officeDocument/2017/etCustomData" ref="A6:I10" etc:filterBottomFollowUsedRange="0">
    <extLst/>
  </autoFilter>
  <mergeCells count="7">
    <mergeCell ref="A1:I1"/>
    <mergeCell ref="A2:I2"/>
    <mergeCell ref="A3:I3"/>
    <mergeCell ref="A4:D4"/>
    <mergeCell ref="F4:H4"/>
    <mergeCell ref="A5:E5"/>
    <mergeCell ref="F5:H5"/>
  </mergeCells>
  <pageMargins left="0.511805555555556" right="0.511805555555556" top="0.590277777777778" bottom="0.786805555555556" header="0.511805555555556" footer="0.15625"/>
  <pageSetup paperSize="9" orientation="portrait"/>
  <headerFooter alignWithMargins="0">
    <oddHeader>&amp;R&amp;"宋体,常规"&amp;10第 &amp;P 页共 &amp;N 页</oddHeader>
    <oddFooter>&amp;L&amp;"宋体"&amp;10编制/日期：                 校对/日期：                 审核/日期：              批准/日期：                                                                    QS/GDHX37151-A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C000"/>
  </sheetPr>
  <dimension ref="A1:Q402"/>
  <sheetViews>
    <sheetView view="pageBreakPreview" zoomScale="55" zoomScaleNormal="100" workbookViewId="0">
      <pane ySplit="6" topLeftCell="A316" activePane="bottomLeft" state="frozen"/>
      <selection/>
      <selection pane="bottomLeft" activeCell="C338" sqref="C338:K338"/>
    </sheetView>
  </sheetViews>
  <sheetFormatPr defaultColWidth="9" defaultRowHeight="14.25"/>
  <cols>
    <col min="1" max="1" width="5.625" style="5" customWidth="1"/>
    <col min="2" max="2" width="15.625" style="6" customWidth="1"/>
    <col min="3" max="3" width="19.5" style="5" customWidth="1"/>
    <col min="4" max="4" width="25.625" style="5" customWidth="1"/>
    <col min="5" max="5" width="12.625" style="32" customWidth="1"/>
    <col min="6" max="6" width="12.625" style="5" customWidth="1"/>
    <col min="7" max="7" width="12.625" style="33" customWidth="1"/>
    <col min="8" max="8" width="12.625" style="34" customWidth="1"/>
    <col min="9" max="9" width="17.625" style="11" customWidth="1"/>
    <col min="10" max="10" width="13.625" style="77" customWidth="1"/>
    <col min="11" max="11" width="15.625" style="77" customWidth="1"/>
    <col min="12" max="12" width="13.625" style="35" customWidth="1"/>
    <col min="13" max="13" width="9" style="12" customWidth="1"/>
    <col min="14" max="16384" width="9" style="12"/>
  </cols>
  <sheetData>
    <row r="1" ht="30" customHeight="1" spans="1:12">
      <c r="A1" s="13" t="s">
        <v>0</v>
      </c>
      <c r="B1" s="13"/>
      <c r="C1" s="13"/>
      <c r="D1" s="13"/>
      <c r="E1" s="13"/>
      <c r="F1" s="13"/>
      <c r="G1" s="13"/>
      <c r="H1" s="14"/>
      <c r="I1" s="13"/>
      <c r="J1" s="78"/>
      <c r="K1" s="78"/>
      <c r="L1" s="13"/>
    </row>
    <row r="2" ht="50.1" customHeight="1" spans="1:12">
      <c r="A2" s="15" t="str">
        <f>清单封面!E11</f>
        <v>结算清单</v>
      </c>
      <c r="B2" s="15"/>
      <c r="C2" s="15"/>
      <c r="D2" s="15"/>
      <c r="E2" s="15"/>
      <c r="F2" s="15"/>
      <c r="G2" s="15"/>
      <c r="H2" s="16" t="str">
        <f>清单封面!F11</f>
        <v>(总构件清单)</v>
      </c>
      <c r="I2" s="16"/>
      <c r="J2" s="16"/>
      <c r="K2" s="16"/>
      <c r="L2" s="16"/>
    </row>
    <row r="3" s="1" customFormat="1" ht="24.95" customHeight="1" spans="1:12">
      <c r="A3" s="3"/>
      <c r="B3" s="3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="2" customFormat="1" ht="24.95" customHeight="1" spans="1:12">
      <c r="A4" s="13" t="str">
        <f>清单封面!B7</f>
        <v>工 程 名 称：</v>
      </c>
      <c r="B4" s="13"/>
      <c r="C4" s="13" t="str">
        <f>清单封面!C7</f>
        <v>第三选矿区C栋宿舍</v>
      </c>
      <c r="D4" s="13"/>
      <c r="E4" s="13"/>
      <c r="F4" s="13"/>
      <c r="G4" s="13"/>
      <c r="H4" s="13"/>
      <c r="I4" s="13"/>
      <c r="J4" s="13"/>
      <c r="K4" s="13"/>
      <c r="L4" s="13"/>
    </row>
    <row r="5" s="2" customFormat="1" ht="24.95" customHeight="1" spans="1:12">
      <c r="A5" s="13" t="str">
        <f>清单封面!B8</f>
        <v>工 程 编 号：</v>
      </c>
      <c r="B5" s="13"/>
      <c r="C5" s="14" t="str">
        <f>清单封面!I11</f>
        <v>HA24575</v>
      </c>
      <c r="D5" s="13"/>
      <c r="E5" s="13"/>
      <c r="F5" s="13"/>
      <c r="G5" s="13"/>
      <c r="H5" s="13"/>
      <c r="I5" s="13"/>
      <c r="J5" s="13"/>
      <c r="K5" s="13"/>
      <c r="L5" s="13"/>
    </row>
    <row r="6" s="3" customFormat="1" ht="24.95" customHeight="1" spans="1:12">
      <c r="A6" s="18" t="s">
        <v>13</v>
      </c>
      <c r="B6" s="59" t="s">
        <v>82</v>
      </c>
      <c r="C6" s="18" t="s">
        <v>83</v>
      </c>
      <c r="D6" s="18" t="s">
        <v>84</v>
      </c>
      <c r="E6" s="18" t="s">
        <v>85</v>
      </c>
      <c r="F6" s="18" t="s">
        <v>73</v>
      </c>
      <c r="G6" s="18" t="s">
        <v>72</v>
      </c>
      <c r="H6" s="19" t="s">
        <v>86</v>
      </c>
      <c r="I6" s="19" t="s">
        <v>87</v>
      </c>
      <c r="J6" s="19" t="s">
        <v>88</v>
      </c>
      <c r="K6" s="19" t="s">
        <v>89</v>
      </c>
      <c r="L6" s="79" t="s">
        <v>16</v>
      </c>
    </row>
    <row r="7" s="76" customFormat="1" ht="24.95" customHeight="1" spans="1:17">
      <c r="A7" s="20">
        <v>1</v>
      </c>
      <c r="B7" s="38" t="s">
        <v>90</v>
      </c>
      <c r="C7" s="38" t="s">
        <v>91</v>
      </c>
      <c r="D7" s="39" t="s">
        <v>92</v>
      </c>
      <c r="E7" s="40">
        <v>7016</v>
      </c>
      <c r="F7" s="39" t="s">
        <v>93</v>
      </c>
      <c r="G7" s="46">
        <v>12</v>
      </c>
      <c r="H7" s="64">
        <v>1164.7</v>
      </c>
      <c r="I7" s="64">
        <v>13976.3</v>
      </c>
      <c r="J7" s="64">
        <v>18.68</v>
      </c>
      <c r="K7" s="64">
        <v>224.17</v>
      </c>
      <c r="L7" s="38"/>
      <c r="M7" s="80"/>
      <c r="N7" s="80"/>
      <c r="O7" s="80"/>
      <c r="P7" s="80"/>
      <c r="Q7" s="80"/>
    </row>
    <row r="8" s="76" customFormat="1" ht="24.95" customHeight="1" spans="1:17">
      <c r="A8" s="20">
        <v>2</v>
      </c>
      <c r="B8" s="38" t="s">
        <v>90</v>
      </c>
      <c r="C8" s="39" t="s">
        <v>94</v>
      </c>
      <c r="D8" s="39" t="s">
        <v>92</v>
      </c>
      <c r="E8" s="40">
        <v>7018</v>
      </c>
      <c r="F8" s="39" t="s">
        <v>93</v>
      </c>
      <c r="G8" s="46">
        <v>3</v>
      </c>
      <c r="H8" s="64">
        <v>1164.8</v>
      </c>
      <c r="I8" s="64">
        <v>3494.4</v>
      </c>
      <c r="J8" s="64">
        <v>18.68</v>
      </c>
      <c r="K8" s="64">
        <v>56.05</v>
      </c>
      <c r="L8" s="38"/>
      <c r="M8" s="80"/>
      <c r="N8" s="80"/>
      <c r="O8" s="80"/>
      <c r="P8" s="80"/>
      <c r="Q8" s="80"/>
    </row>
    <row r="9" s="76" customFormat="1" ht="24.95" customHeight="1" spans="1:17">
      <c r="A9" s="20">
        <v>3</v>
      </c>
      <c r="B9" s="38" t="s">
        <v>90</v>
      </c>
      <c r="C9" s="39" t="s">
        <v>95</v>
      </c>
      <c r="D9" s="39" t="s">
        <v>92</v>
      </c>
      <c r="E9" s="40">
        <v>7018</v>
      </c>
      <c r="F9" s="39" t="s">
        <v>93</v>
      </c>
      <c r="G9" s="46">
        <v>2</v>
      </c>
      <c r="H9" s="64">
        <v>1164.8</v>
      </c>
      <c r="I9" s="64">
        <v>2329.6</v>
      </c>
      <c r="J9" s="64">
        <v>18.68</v>
      </c>
      <c r="K9" s="64">
        <v>37.37</v>
      </c>
      <c r="L9" s="38"/>
      <c r="M9" s="80"/>
      <c r="N9" s="80"/>
      <c r="O9" s="80"/>
      <c r="P9" s="80"/>
      <c r="Q9" s="80"/>
    </row>
    <row r="10" s="76" customFormat="1" ht="24.95" customHeight="1" spans="1:17">
      <c r="A10" s="20">
        <v>4</v>
      </c>
      <c r="B10" s="38" t="s">
        <v>90</v>
      </c>
      <c r="C10" s="39" t="s">
        <v>96</v>
      </c>
      <c r="D10" s="39" t="s">
        <v>92</v>
      </c>
      <c r="E10" s="40">
        <v>6866</v>
      </c>
      <c r="F10" s="39" t="s">
        <v>93</v>
      </c>
      <c r="G10" s="46">
        <v>16</v>
      </c>
      <c r="H10" s="64">
        <v>1137.6</v>
      </c>
      <c r="I10" s="64">
        <v>18201.8</v>
      </c>
      <c r="J10" s="64">
        <v>18.25</v>
      </c>
      <c r="K10" s="64">
        <v>292</v>
      </c>
      <c r="L10" s="38"/>
      <c r="M10" s="80"/>
      <c r="N10" s="80"/>
      <c r="O10" s="80"/>
      <c r="P10" s="80"/>
      <c r="Q10" s="80"/>
    </row>
    <row r="11" s="76" customFormat="1" ht="24.95" customHeight="1" spans="1:17">
      <c r="A11" s="20">
        <v>5</v>
      </c>
      <c r="B11" s="38" t="s">
        <v>90</v>
      </c>
      <c r="C11" s="39" t="s">
        <v>97</v>
      </c>
      <c r="D11" s="39" t="s">
        <v>92</v>
      </c>
      <c r="E11" s="40">
        <v>2746</v>
      </c>
      <c r="F11" s="39" t="s">
        <v>93</v>
      </c>
      <c r="G11" s="46">
        <v>1</v>
      </c>
      <c r="H11" s="64">
        <v>444.9</v>
      </c>
      <c r="I11" s="64">
        <v>444.9</v>
      </c>
      <c r="J11" s="64">
        <v>7.1</v>
      </c>
      <c r="K11" s="64">
        <v>7.1</v>
      </c>
      <c r="L11" s="38"/>
      <c r="M11" s="80"/>
      <c r="N11" s="80"/>
      <c r="O11" s="80"/>
      <c r="P11" s="80"/>
      <c r="Q11" s="80"/>
    </row>
    <row r="12" s="76" customFormat="1" ht="24.95" customHeight="1" spans="1:17">
      <c r="A12" s="20">
        <v>6</v>
      </c>
      <c r="B12" s="38" t="s">
        <v>90</v>
      </c>
      <c r="C12" s="39" t="s">
        <v>98</v>
      </c>
      <c r="D12" s="39" t="s">
        <v>92</v>
      </c>
      <c r="E12" s="40">
        <v>5805.5</v>
      </c>
      <c r="F12" s="39" t="s">
        <v>93</v>
      </c>
      <c r="G12" s="46">
        <v>1</v>
      </c>
      <c r="H12" s="64">
        <v>965.4</v>
      </c>
      <c r="I12" s="64">
        <v>965.4</v>
      </c>
      <c r="J12" s="64">
        <v>15.38</v>
      </c>
      <c r="K12" s="64">
        <v>15.38</v>
      </c>
      <c r="L12" s="38"/>
      <c r="M12" s="80"/>
      <c r="N12" s="80"/>
      <c r="O12" s="80"/>
      <c r="P12" s="80"/>
      <c r="Q12" s="80"/>
    </row>
    <row r="13" s="76" customFormat="1" ht="24.95" customHeight="1" spans="1:17">
      <c r="A13" s="20">
        <v>7</v>
      </c>
      <c r="B13" s="38" t="s">
        <v>90</v>
      </c>
      <c r="C13" s="39" t="s">
        <v>99</v>
      </c>
      <c r="D13" s="39" t="s">
        <v>92</v>
      </c>
      <c r="E13" s="40">
        <v>5956</v>
      </c>
      <c r="F13" s="39" t="s">
        <v>93</v>
      </c>
      <c r="G13" s="46">
        <v>11</v>
      </c>
      <c r="H13" s="64">
        <v>989.7</v>
      </c>
      <c r="I13" s="64">
        <v>10886.4</v>
      </c>
      <c r="J13" s="64">
        <v>15.75</v>
      </c>
      <c r="K13" s="64">
        <v>173.27</v>
      </c>
      <c r="L13" s="38"/>
      <c r="M13" s="80"/>
      <c r="N13" s="80"/>
      <c r="O13" s="80"/>
      <c r="P13" s="80"/>
      <c r="Q13" s="80"/>
    </row>
    <row r="14" s="76" customFormat="1" ht="24.95" customHeight="1" spans="1:17">
      <c r="A14" s="20">
        <v>8</v>
      </c>
      <c r="B14" s="38" t="s">
        <v>90</v>
      </c>
      <c r="C14" s="39" t="s">
        <v>100</v>
      </c>
      <c r="D14" s="39" t="s">
        <v>92</v>
      </c>
      <c r="E14" s="40">
        <v>5801</v>
      </c>
      <c r="F14" s="39" t="s">
        <v>93</v>
      </c>
      <c r="G14" s="46">
        <v>1</v>
      </c>
      <c r="H14" s="64">
        <v>964.7</v>
      </c>
      <c r="I14" s="64">
        <v>964.7</v>
      </c>
      <c r="J14" s="64">
        <v>15.37</v>
      </c>
      <c r="K14" s="64">
        <v>15.37</v>
      </c>
      <c r="L14" s="38"/>
      <c r="M14" s="80"/>
      <c r="N14" s="80"/>
      <c r="O14" s="80"/>
      <c r="P14" s="80"/>
      <c r="Q14" s="80"/>
    </row>
    <row r="15" s="76" customFormat="1" ht="24.95" customHeight="1" spans="1:17">
      <c r="A15" s="20">
        <v>9</v>
      </c>
      <c r="B15" s="38" t="s">
        <v>90</v>
      </c>
      <c r="C15" s="39" t="s">
        <v>101</v>
      </c>
      <c r="D15" s="39" t="s">
        <v>92</v>
      </c>
      <c r="E15" s="40">
        <v>5801</v>
      </c>
      <c r="F15" s="39" t="s">
        <v>93</v>
      </c>
      <c r="G15" s="46">
        <v>1</v>
      </c>
      <c r="H15" s="64">
        <v>964.7</v>
      </c>
      <c r="I15" s="64">
        <v>964.7</v>
      </c>
      <c r="J15" s="64">
        <v>15.37</v>
      </c>
      <c r="K15" s="64">
        <v>15.37</v>
      </c>
      <c r="L15" s="38"/>
      <c r="M15" s="80"/>
      <c r="N15" s="80"/>
      <c r="O15" s="80"/>
      <c r="P15" s="80"/>
      <c r="Q15" s="80"/>
    </row>
    <row r="16" s="76" customFormat="1" ht="24.95" customHeight="1" spans="1:17">
      <c r="A16" s="20">
        <v>10</v>
      </c>
      <c r="B16" s="38" t="s">
        <v>90</v>
      </c>
      <c r="C16" s="39" t="s">
        <v>102</v>
      </c>
      <c r="D16" s="39" t="s">
        <v>92</v>
      </c>
      <c r="E16" s="40">
        <v>5956</v>
      </c>
      <c r="F16" s="39" t="s">
        <v>93</v>
      </c>
      <c r="G16" s="46">
        <v>3</v>
      </c>
      <c r="H16" s="64">
        <v>989.7</v>
      </c>
      <c r="I16" s="64">
        <v>2969</v>
      </c>
      <c r="J16" s="64">
        <v>15.75</v>
      </c>
      <c r="K16" s="64">
        <v>47.25</v>
      </c>
      <c r="L16" s="38"/>
      <c r="M16" s="80"/>
      <c r="N16" s="80"/>
      <c r="O16" s="80"/>
      <c r="P16" s="80"/>
      <c r="Q16" s="80"/>
    </row>
    <row r="17" s="76" customFormat="1" ht="24.95" customHeight="1" spans="1:17">
      <c r="A17" s="20">
        <v>11</v>
      </c>
      <c r="B17" s="38" t="s">
        <v>90</v>
      </c>
      <c r="C17" s="39" t="s">
        <v>103</v>
      </c>
      <c r="D17" s="39" t="s">
        <v>104</v>
      </c>
      <c r="E17" s="40">
        <v>2679.5</v>
      </c>
      <c r="F17" s="39" t="s">
        <v>93</v>
      </c>
      <c r="G17" s="46">
        <v>10</v>
      </c>
      <c r="H17" s="64">
        <v>131.3</v>
      </c>
      <c r="I17" s="64">
        <v>1312.5</v>
      </c>
      <c r="J17" s="64">
        <v>3.72</v>
      </c>
      <c r="K17" s="64">
        <v>37.21</v>
      </c>
      <c r="L17" s="38"/>
      <c r="M17" s="80"/>
      <c r="N17" s="80"/>
      <c r="O17" s="80"/>
      <c r="P17" s="80"/>
      <c r="Q17" s="80"/>
    </row>
    <row r="18" s="76" customFormat="1" ht="24.95" customHeight="1" spans="1:17">
      <c r="A18" s="20">
        <v>12</v>
      </c>
      <c r="B18" s="38" t="s">
        <v>90</v>
      </c>
      <c r="C18" s="39" t="s">
        <v>105</v>
      </c>
      <c r="D18" s="39" t="s">
        <v>104</v>
      </c>
      <c r="E18" s="40">
        <v>2575</v>
      </c>
      <c r="F18" s="39" t="s">
        <v>93</v>
      </c>
      <c r="G18" s="46">
        <v>12</v>
      </c>
      <c r="H18" s="64">
        <v>126.1</v>
      </c>
      <c r="I18" s="64">
        <v>1513.6</v>
      </c>
      <c r="J18" s="64">
        <v>3.58</v>
      </c>
      <c r="K18" s="64">
        <v>42.92</v>
      </c>
      <c r="L18" s="38"/>
      <c r="M18" s="80"/>
      <c r="N18" s="80"/>
      <c r="O18" s="80"/>
      <c r="P18" s="80"/>
      <c r="Q18" s="80"/>
    </row>
    <row r="19" s="76" customFormat="1" ht="24.95" customHeight="1" spans="1:17">
      <c r="A19" s="20">
        <v>13</v>
      </c>
      <c r="B19" s="38" t="s">
        <v>90</v>
      </c>
      <c r="C19" s="39" t="s">
        <v>106</v>
      </c>
      <c r="D19" s="39" t="s">
        <v>104</v>
      </c>
      <c r="E19" s="40">
        <v>2780</v>
      </c>
      <c r="F19" s="39" t="s">
        <v>93</v>
      </c>
      <c r="G19" s="46">
        <v>206</v>
      </c>
      <c r="H19" s="64">
        <v>136.2</v>
      </c>
      <c r="I19" s="64">
        <v>28052.2</v>
      </c>
      <c r="J19" s="64">
        <v>3.86</v>
      </c>
      <c r="K19" s="64">
        <v>795.16</v>
      </c>
      <c r="L19" s="38"/>
      <c r="M19" s="80"/>
      <c r="N19" s="80"/>
      <c r="O19" s="80"/>
      <c r="P19" s="80"/>
      <c r="Q19" s="80"/>
    </row>
    <row r="20" s="76" customFormat="1" ht="24.95" customHeight="1" spans="1:17">
      <c r="A20" s="20">
        <v>14</v>
      </c>
      <c r="B20" s="38" t="s">
        <v>90</v>
      </c>
      <c r="C20" s="39" t="s">
        <v>107</v>
      </c>
      <c r="D20" s="39" t="s">
        <v>104</v>
      </c>
      <c r="E20" s="40">
        <v>2880</v>
      </c>
      <c r="F20" s="39" t="s">
        <v>93</v>
      </c>
      <c r="G20" s="46">
        <v>14</v>
      </c>
      <c r="H20" s="64">
        <v>141.1</v>
      </c>
      <c r="I20" s="64">
        <v>1975</v>
      </c>
      <c r="J20" s="64">
        <v>4</v>
      </c>
      <c r="K20" s="64">
        <v>55.98</v>
      </c>
      <c r="L20" s="38"/>
      <c r="M20" s="80"/>
      <c r="N20" s="80"/>
      <c r="O20" s="80"/>
      <c r="P20" s="80"/>
      <c r="Q20" s="80"/>
    </row>
    <row r="21" s="76" customFormat="1" ht="24.95" customHeight="1" spans="1:17">
      <c r="A21" s="20">
        <v>15</v>
      </c>
      <c r="B21" s="38" t="s">
        <v>90</v>
      </c>
      <c r="C21" s="39" t="s">
        <v>108</v>
      </c>
      <c r="D21" s="39" t="s">
        <v>109</v>
      </c>
      <c r="E21" s="40">
        <v>2575</v>
      </c>
      <c r="F21" s="39" t="s">
        <v>93</v>
      </c>
      <c r="G21" s="46">
        <v>8</v>
      </c>
      <c r="H21" s="64">
        <v>125.5</v>
      </c>
      <c r="I21" s="64">
        <v>1003.9</v>
      </c>
      <c r="J21" s="64">
        <v>3.06</v>
      </c>
      <c r="K21" s="64">
        <v>24.49</v>
      </c>
      <c r="L21" s="38"/>
      <c r="M21" s="80"/>
      <c r="N21" s="80"/>
      <c r="O21" s="80"/>
      <c r="P21" s="80"/>
      <c r="Q21" s="80"/>
    </row>
    <row r="22" s="76" customFormat="1" ht="24.95" customHeight="1" spans="1:17">
      <c r="A22" s="20">
        <v>16</v>
      </c>
      <c r="B22" s="38" t="s">
        <v>90</v>
      </c>
      <c r="C22" s="39" t="s">
        <v>110</v>
      </c>
      <c r="D22" s="39" t="s">
        <v>92</v>
      </c>
      <c r="E22" s="40">
        <v>2847</v>
      </c>
      <c r="F22" s="39" t="s">
        <v>93</v>
      </c>
      <c r="G22" s="46">
        <v>1</v>
      </c>
      <c r="H22" s="64">
        <v>473.9</v>
      </c>
      <c r="I22" s="64">
        <v>473.9</v>
      </c>
      <c r="J22" s="64">
        <v>7.53</v>
      </c>
      <c r="K22" s="64">
        <v>7.53</v>
      </c>
      <c r="L22" s="38"/>
      <c r="M22" s="80"/>
      <c r="N22" s="80"/>
      <c r="O22" s="80"/>
      <c r="P22" s="80"/>
      <c r="Q22" s="80"/>
    </row>
    <row r="23" s="76" customFormat="1" ht="24.95" customHeight="1" spans="1:17">
      <c r="A23" s="20">
        <v>17</v>
      </c>
      <c r="B23" s="38" t="s">
        <v>90</v>
      </c>
      <c r="C23" s="39" t="s">
        <v>111</v>
      </c>
      <c r="D23" s="39" t="s">
        <v>92</v>
      </c>
      <c r="E23" s="40">
        <v>2837</v>
      </c>
      <c r="F23" s="39" t="s">
        <v>93</v>
      </c>
      <c r="G23" s="46">
        <v>1</v>
      </c>
      <c r="H23" s="64">
        <v>473.2</v>
      </c>
      <c r="I23" s="64">
        <v>473.2</v>
      </c>
      <c r="J23" s="64">
        <v>7.54</v>
      </c>
      <c r="K23" s="64">
        <v>7.54</v>
      </c>
      <c r="L23" s="38"/>
      <c r="M23" s="80"/>
      <c r="N23" s="80"/>
      <c r="O23" s="80"/>
      <c r="P23" s="80"/>
      <c r="Q23" s="80"/>
    </row>
    <row r="24" s="76" customFormat="1" ht="24.95" customHeight="1" spans="1:17">
      <c r="A24" s="20">
        <v>18</v>
      </c>
      <c r="B24" s="38" t="s">
        <v>90</v>
      </c>
      <c r="C24" s="39" t="s">
        <v>112</v>
      </c>
      <c r="D24" s="39" t="s">
        <v>92</v>
      </c>
      <c r="E24" s="40">
        <v>1605.5</v>
      </c>
      <c r="F24" s="39" t="s">
        <v>93</v>
      </c>
      <c r="G24" s="46">
        <v>1</v>
      </c>
      <c r="H24" s="64">
        <v>272.3</v>
      </c>
      <c r="I24" s="64">
        <v>272.3</v>
      </c>
      <c r="J24" s="64">
        <v>4.43</v>
      </c>
      <c r="K24" s="64">
        <v>4.43</v>
      </c>
      <c r="L24" s="38"/>
      <c r="M24" s="80"/>
      <c r="N24" s="80"/>
      <c r="O24" s="80"/>
      <c r="P24" s="80"/>
      <c r="Q24" s="80"/>
    </row>
    <row r="25" s="76" customFormat="1" ht="24.95" customHeight="1" spans="1:17">
      <c r="A25" s="20">
        <v>19</v>
      </c>
      <c r="B25" s="38" t="s">
        <v>90</v>
      </c>
      <c r="C25" s="39" t="s">
        <v>113</v>
      </c>
      <c r="D25" s="39" t="s">
        <v>104</v>
      </c>
      <c r="E25" s="40">
        <v>1522.5</v>
      </c>
      <c r="F25" s="39" t="s">
        <v>93</v>
      </c>
      <c r="G25" s="46">
        <v>1</v>
      </c>
      <c r="H25" s="64">
        <v>75.3</v>
      </c>
      <c r="I25" s="64">
        <v>75.3</v>
      </c>
      <c r="J25" s="64">
        <v>2.15</v>
      </c>
      <c r="K25" s="64">
        <v>2.15</v>
      </c>
      <c r="L25" s="38"/>
      <c r="M25" s="80"/>
      <c r="N25" s="80"/>
      <c r="O25" s="80"/>
      <c r="P25" s="80"/>
      <c r="Q25" s="80"/>
    </row>
    <row r="26" s="76" customFormat="1" ht="24.95" customHeight="1" spans="1:17">
      <c r="A26" s="20">
        <v>20</v>
      </c>
      <c r="B26" s="38" t="s">
        <v>90</v>
      </c>
      <c r="C26" s="39" t="s">
        <v>114</v>
      </c>
      <c r="D26" s="39" t="s">
        <v>104</v>
      </c>
      <c r="E26" s="40">
        <v>2534</v>
      </c>
      <c r="F26" s="39" t="s">
        <v>93</v>
      </c>
      <c r="G26" s="46">
        <v>1</v>
      </c>
      <c r="H26" s="64">
        <v>125.2</v>
      </c>
      <c r="I26" s="64">
        <v>125.2</v>
      </c>
      <c r="J26" s="64">
        <v>3.56</v>
      </c>
      <c r="K26" s="64">
        <v>3.56</v>
      </c>
      <c r="L26" s="38"/>
      <c r="M26" s="80"/>
      <c r="N26" s="80"/>
      <c r="O26" s="80"/>
      <c r="P26" s="80"/>
      <c r="Q26" s="80"/>
    </row>
    <row r="27" s="76" customFormat="1" ht="24.95" customHeight="1" spans="1:17">
      <c r="A27" s="20">
        <v>21</v>
      </c>
      <c r="B27" s="38" t="s">
        <v>90</v>
      </c>
      <c r="C27" s="39" t="s">
        <v>115</v>
      </c>
      <c r="D27" s="39" t="s">
        <v>104</v>
      </c>
      <c r="E27" s="40">
        <v>2616.5</v>
      </c>
      <c r="F27" s="39" t="s">
        <v>93</v>
      </c>
      <c r="G27" s="46">
        <v>1</v>
      </c>
      <c r="H27" s="64">
        <v>128.5</v>
      </c>
      <c r="I27" s="64">
        <v>128.5</v>
      </c>
      <c r="J27" s="64">
        <v>3.65</v>
      </c>
      <c r="K27" s="64">
        <v>3.65</v>
      </c>
      <c r="L27" s="38"/>
      <c r="M27" s="80"/>
      <c r="N27" s="80"/>
      <c r="O27" s="80"/>
      <c r="P27" s="80"/>
      <c r="Q27" s="80"/>
    </row>
    <row r="28" s="76" customFormat="1" ht="24.95" customHeight="1" spans="1:17">
      <c r="A28" s="20">
        <v>22</v>
      </c>
      <c r="B28" s="38" t="s">
        <v>90</v>
      </c>
      <c r="C28" s="39" t="s">
        <v>116</v>
      </c>
      <c r="D28" s="39" t="s">
        <v>117</v>
      </c>
      <c r="E28" s="40">
        <v>9470</v>
      </c>
      <c r="F28" s="39" t="s">
        <v>93</v>
      </c>
      <c r="G28" s="46">
        <v>15</v>
      </c>
      <c r="H28" s="64">
        <v>1141.6</v>
      </c>
      <c r="I28" s="64">
        <v>17123.8</v>
      </c>
      <c r="J28" s="64">
        <v>20.21</v>
      </c>
      <c r="K28" s="64">
        <v>303.19</v>
      </c>
      <c r="L28" s="38"/>
      <c r="M28" s="80"/>
      <c r="N28" s="80"/>
      <c r="O28" s="80"/>
      <c r="P28" s="80"/>
      <c r="Q28" s="80"/>
    </row>
    <row r="29" s="76" customFormat="1" ht="24.95" customHeight="1" spans="1:17">
      <c r="A29" s="20">
        <v>23</v>
      </c>
      <c r="B29" s="38" t="s">
        <v>90</v>
      </c>
      <c r="C29" s="39" t="s">
        <v>118</v>
      </c>
      <c r="D29" s="39" t="s">
        <v>117</v>
      </c>
      <c r="E29" s="40">
        <v>6970</v>
      </c>
      <c r="F29" s="39" t="s">
        <v>93</v>
      </c>
      <c r="G29" s="46">
        <v>16</v>
      </c>
      <c r="H29" s="64">
        <v>838.4</v>
      </c>
      <c r="I29" s="64">
        <v>13413.8</v>
      </c>
      <c r="J29" s="64">
        <v>14.87</v>
      </c>
      <c r="K29" s="64">
        <v>238</v>
      </c>
      <c r="L29" s="38"/>
      <c r="M29" s="80"/>
      <c r="N29" s="80"/>
      <c r="O29" s="80"/>
      <c r="P29" s="80"/>
      <c r="Q29" s="80"/>
    </row>
    <row r="30" s="76" customFormat="1" ht="24.95" customHeight="1" spans="1:17">
      <c r="A30" s="20">
        <v>24</v>
      </c>
      <c r="B30" s="38" t="s">
        <v>90</v>
      </c>
      <c r="C30" s="39" t="s">
        <v>119</v>
      </c>
      <c r="D30" s="39" t="s">
        <v>104</v>
      </c>
      <c r="E30" s="40">
        <v>2525</v>
      </c>
      <c r="F30" s="39" t="s">
        <v>93</v>
      </c>
      <c r="G30" s="46">
        <v>6</v>
      </c>
      <c r="H30" s="64">
        <v>123.7</v>
      </c>
      <c r="I30" s="64">
        <v>742.1</v>
      </c>
      <c r="J30" s="64">
        <v>3.51</v>
      </c>
      <c r="K30" s="64">
        <v>21.04</v>
      </c>
      <c r="L30" s="38"/>
      <c r="M30" s="80"/>
      <c r="N30" s="80"/>
      <c r="O30" s="80"/>
      <c r="P30" s="80"/>
      <c r="Q30" s="80"/>
    </row>
    <row r="31" s="76" customFormat="1" ht="24.95" customHeight="1" spans="1:17">
      <c r="A31" s="20">
        <v>25</v>
      </c>
      <c r="B31" s="38" t="s">
        <v>90</v>
      </c>
      <c r="C31" s="39" t="s">
        <v>120</v>
      </c>
      <c r="D31" s="39" t="s">
        <v>104</v>
      </c>
      <c r="E31" s="40">
        <v>2680</v>
      </c>
      <c r="F31" s="39" t="s">
        <v>93</v>
      </c>
      <c r="G31" s="46">
        <v>183</v>
      </c>
      <c r="H31" s="64">
        <v>131.3</v>
      </c>
      <c r="I31" s="64">
        <v>24023.7</v>
      </c>
      <c r="J31" s="64">
        <v>3.72</v>
      </c>
      <c r="K31" s="64">
        <v>681.05</v>
      </c>
      <c r="L31" s="38"/>
      <c r="M31" s="80"/>
      <c r="N31" s="80"/>
      <c r="O31" s="80"/>
      <c r="P31" s="80"/>
      <c r="Q31" s="80"/>
    </row>
    <row r="32" s="76" customFormat="1" ht="24.95" customHeight="1" spans="1:17">
      <c r="A32" s="20">
        <v>26</v>
      </c>
      <c r="B32" s="38" t="s">
        <v>90</v>
      </c>
      <c r="C32" s="39" t="s">
        <v>121</v>
      </c>
      <c r="D32" s="39" t="s">
        <v>104</v>
      </c>
      <c r="E32" s="40">
        <v>2529.5</v>
      </c>
      <c r="F32" s="39" t="s">
        <v>93</v>
      </c>
      <c r="G32" s="46">
        <v>9</v>
      </c>
      <c r="H32" s="64">
        <v>123.9</v>
      </c>
      <c r="I32" s="64">
        <v>1115.1</v>
      </c>
      <c r="J32" s="64">
        <v>3.51</v>
      </c>
      <c r="K32" s="64">
        <v>31.62</v>
      </c>
      <c r="L32" s="38"/>
      <c r="M32" s="80"/>
      <c r="N32" s="80"/>
      <c r="O32" s="80"/>
      <c r="P32" s="80"/>
      <c r="Q32" s="80"/>
    </row>
    <row r="33" s="76" customFormat="1" ht="24.95" customHeight="1" spans="1:17">
      <c r="A33" s="20">
        <v>27</v>
      </c>
      <c r="B33" s="38" t="s">
        <v>90</v>
      </c>
      <c r="C33" s="39" t="s">
        <v>122</v>
      </c>
      <c r="D33" s="39" t="s">
        <v>104</v>
      </c>
      <c r="E33" s="40">
        <v>2130</v>
      </c>
      <c r="F33" s="39" t="s">
        <v>93</v>
      </c>
      <c r="G33" s="46">
        <v>34</v>
      </c>
      <c r="H33" s="64">
        <v>104.3</v>
      </c>
      <c r="I33" s="64">
        <v>3547.4</v>
      </c>
      <c r="J33" s="64">
        <v>2.96</v>
      </c>
      <c r="K33" s="64">
        <v>100.65</v>
      </c>
      <c r="L33" s="38"/>
      <c r="M33" s="80"/>
      <c r="N33" s="80"/>
      <c r="O33" s="80"/>
      <c r="P33" s="80"/>
      <c r="Q33" s="80"/>
    </row>
    <row r="34" s="76" customFormat="1" ht="24.95" customHeight="1" spans="1:17">
      <c r="A34" s="20">
        <v>28</v>
      </c>
      <c r="B34" s="38" t="s">
        <v>90</v>
      </c>
      <c r="C34" s="39" t="s">
        <v>123</v>
      </c>
      <c r="D34" s="39" t="s">
        <v>104</v>
      </c>
      <c r="E34" s="40">
        <v>2374.5</v>
      </c>
      <c r="F34" s="39" t="s">
        <v>93</v>
      </c>
      <c r="G34" s="46">
        <v>2</v>
      </c>
      <c r="H34" s="64">
        <v>116.3</v>
      </c>
      <c r="I34" s="64">
        <v>232.6</v>
      </c>
      <c r="J34" s="64">
        <v>3.3</v>
      </c>
      <c r="K34" s="64">
        <v>6.6</v>
      </c>
      <c r="L34" s="38"/>
      <c r="M34" s="80"/>
      <c r="N34" s="80"/>
      <c r="O34" s="80"/>
      <c r="P34" s="80"/>
      <c r="Q34" s="80"/>
    </row>
    <row r="35" s="76" customFormat="1" ht="24.95" customHeight="1" spans="1:17">
      <c r="A35" s="20">
        <v>29</v>
      </c>
      <c r="B35" s="38" t="s">
        <v>90</v>
      </c>
      <c r="C35" s="39" t="s">
        <v>124</v>
      </c>
      <c r="D35" s="39" t="s">
        <v>104</v>
      </c>
      <c r="E35" s="40">
        <v>2830</v>
      </c>
      <c r="F35" s="39" t="s">
        <v>93</v>
      </c>
      <c r="G35" s="46">
        <v>6</v>
      </c>
      <c r="H35" s="64">
        <v>138.6</v>
      </c>
      <c r="I35" s="64">
        <v>831.8</v>
      </c>
      <c r="J35" s="64">
        <v>3.93</v>
      </c>
      <c r="K35" s="64">
        <v>23.58</v>
      </c>
      <c r="L35" s="38"/>
      <c r="M35" s="80"/>
      <c r="N35" s="80"/>
      <c r="O35" s="80"/>
      <c r="P35" s="80"/>
      <c r="Q35" s="80"/>
    </row>
    <row r="36" s="76" customFormat="1" ht="24.95" customHeight="1" spans="1:17">
      <c r="A36" s="20">
        <v>30</v>
      </c>
      <c r="B36" s="38" t="s">
        <v>90</v>
      </c>
      <c r="C36" s="39" t="s">
        <v>125</v>
      </c>
      <c r="D36" s="39" t="s">
        <v>109</v>
      </c>
      <c r="E36" s="40">
        <v>2575</v>
      </c>
      <c r="F36" s="39" t="s">
        <v>93</v>
      </c>
      <c r="G36" s="46">
        <v>2</v>
      </c>
      <c r="H36" s="64">
        <v>125.5</v>
      </c>
      <c r="I36" s="64">
        <v>251</v>
      </c>
      <c r="J36" s="64">
        <v>3.06</v>
      </c>
      <c r="K36" s="64">
        <v>6.12</v>
      </c>
      <c r="L36" s="38"/>
      <c r="M36" s="80"/>
      <c r="N36" s="80"/>
      <c r="O36" s="80"/>
      <c r="P36" s="80"/>
      <c r="Q36" s="80"/>
    </row>
    <row r="37" s="76" customFormat="1" ht="24.95" customHeight="1" spans="1:17">
      <c r="A37" s="20">
        <v>31</v>
      </c>
      <c r="B37" s="38" t="s">
        <v>90</v>
      </c>
      <c r="C37" s="39" t="s">
        <v>126</v>
      </c>
      <c r="D37" s="39" t="s">
        <v>109</v>
      </c>
      <c r="E37" s="40">
        <v>2107.5</v>
      </c>
      <c r="F37" s="39" t="s">
        <v>93</v>
      </c>
      <c r="G37" s="46">
        <v>1</v>
      </c>
      <c r="H37" s="64">
        <v>103.7</v>
      </c>
      <c r="I37" s="64">
        <v>103.7</v>
      </c>
      <c r="J37" s="64">
        <v>2.54</v>
      </c>
      <c r="K37" s="64">
        <v>2.54</v>
      </c>
      <c r="L37" s="38"/>
      <c r="M37" s="80"/>
      <c r="N37" s="80"/>
      <c r="O37" s="80"/>
      <c r="P37" s="80"/>
      <c r="Q37" s="80"/>
    </row>
    <row r="38" s="76" customFormat="1" ht="24.95" customHeight="1" spans="1:17">
      <c r="A38" s="20">
        <v>32</v>
      </c>
      <c r="B38" s="38" t="s">
        <v>90</v>
      </c>
      <c r="C38" s="39" t="s">
        <v>127</v>
      </c>
      <c r="D38" s="39" t="s">
        <v>104</v>
      </c>
      <c r="E38" s="40">
        <v>2484</v>
      </c>
      <c r="F38" s="39" t="s">
        <v>93</v>
      </c>
      <c r="G38" s="46">
        <v>1</v>
      </c>
      <c r="H38" s="64">
        <v>122.8</v>
      </c>
      <c r="I38" s="64">
        <v>122.8</v>
      </c>
      <c r="J38" s="64">
        <v>3.49</v>
      </c>
      <c r="K38" s="64">
        <v>3.49</v>
      </c>
      <c r="L38" s="38"/>
      <c r="M38" s="80"/>
      <c r="N38" s="80"/>
      <c r="O38" s="80"/>
      <c r="P38" s="80"/>
      <c r="Q38" s="80"/>
    </row>
    <row r="39" s="76" customFormat="1" ht="24.95" customHeight="1" spans="1:17">
      <c r="A39" s="20">
        <v>33</v>
      </c>
      <c r="B39" s="38" t="s">
        <v>90</v>
      </c>
      <c r="C39" s="39" t="s">
        <v>128</v>
      </c>
      <c r="D39" s="39" t="s">
        <v>104</v>
      </c>
      <c r="E39" s="40">
        <v>2280</v>
      </c>
      <c r="F39" s="39" t="s">
        <v>93</v>
      </c>
      <c r="G39" s="46">
        <v>2</v>
      </c>
      <c r="H39" s="64">
        <v>111.7</v>
      </c>
      <c r="I39" s="64">
        <v>223.4</v>
      </c>
      <c r="J39" s="64">
        <v>3.17</v>
      </c>
      <c r="K39" s="64">
        <v>6.34</v>
      </c>
      <c r="L39" s="38"/>
      <c r="M39" s="80"/>
      <c r="N39" s="80"/>
      <c r="O39" s="80"/>
      <c r="P39" s="80"/>
      <c r="Q39" s="80"/>
    </row>
    <row r="40" s="76" customFormat="1" ht="24.95" customHeight="1" spans="1:17">
      <c r="A40" s="20">
        <v>34</v>
      </c>
      <c r="B40" s="38" t="s">
        <v>90</v>
      </c>
      <c r="C40" s="39" t="s">
        <v>129</v>
      </c>
      <c r="D40" s="39" t="s">
        <v>109</v>
      </c>
      <c r="E40" s="40">
        <v>2579.5</v>
      </c>
      <c r="F40" s="39" t="s">
        <v>93</v>
      </c>
      <c r="G40" s="46">
        <v>2</v>
      </c>
      <c r="H40" s="64">
        <v>125.7</v>
      </c>
      <c r="I40" s="64">
        <v>251.4</v>
      </c>
      <c r="J40" s="64">
        <v>3.07</v>
      </c>
      <c r="K40" s="64">
        <v>6.13</v>
      </c>
      <c r="L40" s="38"/>
      <c r="M40" s="80"/>
      <c r="N40" s="80"/>
      <c r="O40" s="80"/>
      <c r="P40" s="80"/>
      <c r="Q40" s="80"/>
    </row>
    <row r="41" s="76" customFormat="1" ht="24.95" customHeight="1" spans="1:17">
      <c r="A41" s="20">
        <v>35</v>
      </c>
      <c r="B41" s="38" t="s">
        <v>90</v>
      </c>
      <c r="C41" s="39" t="s">
        <v>130</v>
      </c>
      <c r="D41" s="39" t="s">
        <v>109</v>
      </c>
      <c r="E41" s="40">
        <v>2780</v>
      </c>
      <c r="F41" s="39" t="s">
        <v>93</v>
      </c>
      <c r="G41" s="46">
        <v>61</v>
      </c>
      <c r="H41" s="64">
        <v>135.5</v>
      </c>
      <c r="I41" s="64">
        <v>8264.1</v>
      </c>
      <c r="J41" s="64">
        <v>3.3</v>
      </c>
      <c r="K41" s="64">
        <v>201.54</v>
      </c>
      <c r="L41" s="38"/>
      <c r="M41" s="80"/>
      <c r="N41" s="80"/>
      <c r="O41" s="80"/>
      <c r="P41" s="80"/>
      <c r="Q41" s="80"/>
    </row>
    <row r="42" s="76" customFormat="1" ht="24.95" customHeight="1" spans="1:17">
      <c r="A42" s="20">
        <v>36</v>
      </c>
      <c r="B42" s="38" t="s">
        <v>90</v>
      </c>
      <c r="C42" s="39" t="s">
        <v>131</v>
      </c>
      <c r="D42" s="39" t="s">
        <v>109</v>
      </c>
      <c r="E42" s="40">
        <v>2529</v>
      </c>
      <c r="F42" s="39" t="s">
        <v>93</v>
      </c>
      <c r="G42" s="46">
        <v>1</v>
      </c>
      <c r="H42" s="64">
        <v>123.2</v>
      </c>
      <c r="I42" s="64">
        <v>123.2</v>
      </c>
      <c r="J42" s="64">
        <v>3.01</v>
      </c>
      <c r="K42" s="64">
        <v>3.01</v>
      </c>
      <c r="L42" s="38"/>
      <c r="M42" s="80"/>
      <c r="N42" s="80"/>
      <c r="O42" s="80"/>
      <c r="P42" s="80"/>
      <c r="Q42" s="80"/>
    </row>
    <row r="43" s="76" customFormat="1" ht="24.95" customHeight="1" spans="1:17">
      <c r="A43" s="20">
        <v>37</v>
      </c>
      <c r="B43" s="38" t="s">
        <v>90</v>
      </c>
      <c r="C43" s="39" t="s">
        <v>132</v>
      </c>
      <c r="D43" s="39" t="s">
        <v>109</v>
      </c>
      <c r="E43" s="40">
        <v>2679.5</v>
      </c>
      <c r="F43" s="39" t="s">
        <v>93</v>
      </c>
      <c r="G43" s="46">
        <v>3</v>
      </c>
      <c r="H43" s="64">
        <v>130.6</v>
      </c>
      <c r="I43" s="64">
        <v>391.7</v>
      </c>
      <c r="J43" s="64">
        <v>3.18</v>
      </c>
      <c r="K43" s="64">
        <v>9.55</v>
      </c>
      <c r="L43" s="38"/>
      <c r="M43" s="80"/>
      <c r="N43" s="80"/>
      <c r="O43" s="80"/>
      <c r="P43" s="80"/>
      <c r="Q43" s="80"/>
    </row>
    <row r="44" s="76" customFormat="1" ht="24.95" customHeight="1" spans="1:17">
      <c r="A44" s="20">
        <v>38</v>
      </c>
      <c r="B44" s="38" t="s">
        <v>90</v>
      </c>
      <c r="C44" s="39" t="s">
        <v>133</v>
      </c>
      <c r="D44" s="39" t="s">
        <v>109</v>
      </c>
      <c r="E44" s="40">
        <v>3012.5</v>
      </c>
      <c r="F44" s="39" t="s">
        <v>93</v>
      </c>
      <c r="G44" s="46">
        <v>3</v>
      </c>
      <c r="H44" s="64">
        <v>146.8</v>
      </c>
      <c r="I44" s="64">
        <v>440.4</v>
      </c>
      <c r="J44" s="64">
        <v>3.58</v>
      </c>
      <c r="K44" s="64">
        <v>10.74</v>
      </c>
      <c r="L44" s="38"/>
      <c r="M44" s="80"/>
      <c r="N44" s="80"/>
      <c r="O44" s="80"/>
      <c r="P44" s="80"/>
      <c r="Q44" s="80"/>
    </row>
    <row r="45" s="76" customFormat="1" ht="24.95" customHeight="1" spans="1:17">
      <c r="A45" s="20">
        <v>39</v>
      </c>
      <c r="B45" s="38" t="s">
        <v>90</v>
      </c>
      <c r="C45" s="39" t="s">
        <v>134</v>
      </c>
      <c r="D45" s="39" t="s">
        <v>109</v>
      </c>
      <c r="E45" s="40">
        <v>2442.5</v>
      </c>
      <c r="F45" s="39" t="s">
        <v>93</v>
      </c>
      <c r="G45" s="46">
        <v>2</v>
      </c>
      <c r="H45" s="64">
        <v>119</v>
      </c>
      <c r="I45" s="64">
        <v>238.1</v>
      </c>
      <c r="J45" s="64">
        <v>2.9</v>
      </c>
      <c r="K45" s="64">
        <v>5.81</v>
      </c>
      <c r="L45" s="38"/>
      <c r="M45" s="80"/>
      <c r="N45" s="80"/>
      <c r="O45" s="80"/>
      <c r="P45" s="80"/>
      <c r="Q45" s="80"/>
    </row>
    <row r="46" s="76" customFormat="1" ht="24.95" customHeight="1" spans="1:17">
      <c r="A46" s="20">
        <v>40</v>
      </c>
      <c r="B46" s="38" t="s">
        <v>90</v>
      </c>
      <c r="C46" s="39" t="s">
        <v>135</v>
      </c>
      <c r="D46" s="39" t="s">
        <v>109</v>
      </c>
      <c r="E46" s="40">
        <v>2674.5</v>
      </c>
      <c r="F46" s="39" t="s">
        <v>93</v>
      </c>
      <c r="G46" s="46">
        <v>1</v>
      </c>
      <c r="H46" s="64">
        <v>130.3</v>
      </c>
      <c r="I46" s="64">
        <v>130.3</v>
      </c>
      <c r="J46" s="64">
        <v>3.18</v>
      </c>
      <c r="K46" s="64">
        <v>3.18</v>
      </c>
      <c r="L46" s="38"/>
      <c r="M46" s="80"/>
      <c r="N46" s="80"/>
      <c r="O46" s="80"/>
      <c r="P46" s="80"/>
      <c r="Q46" s="80"/>
    </row>
    <row r="47" s="76" customFormat="1" ht="24.95" customHeight="1" spans="1:17">
      <c r="A47" s="20">
        <v>41</v>
      </c>
      <c r="B47" s="38" t="s">
        <v>90</v>
      </c>
      <c r="C47" s="39" t="s">
        <v>136</v>
      </c>
      <c r="D47" s="39" t="s">
        <v>137</v>
      </c>
      <c r="E47" s="40">
        <v>4528</v>
      </c>
      <c r="F47" s="39" t="s">
        <v>93</v>
      </c>
      <c r="G47" s="46">
        <v>4</v>
      </c>
      <c r="H47" s="64">
        <v>324.2</v>
      </c>
      <c r="I47" s="64">
        <v>1296.8</v>
      </c>
      <c r="J47" s="64">
        <v>6.65</v>
      </c>
      <c r="K47" s="64">
        <v>26.59</v>
      </c>
      <c r="L47" s="38"/>
      <c r="M47" s="80"/>
      <c r="N47" s="80"/>
      <c r="O47" s="80"/>
      <c r="P47" s="80"/>
      <c r="Q47" s="80"/>
    </row>
    <row r="48" s="76" customFormat="1" ht="24.95" customHeight="1" spans="1:17">
      <c r="A48" s="20">
        <v>42</v>
      </c>
      <c r="B48" s="38" t="s">
        <v>90</v>
      </c>
      <c r="C48" s="39" t="s">
        <v>138</v>
      </c>
      <c r="D48" s="39" t="s">
        <v>137</v>
      </c>
      <c r="E48" s="40">
        <v>6258.3</v>
      </c>
      <c r="F48" s="39" t="s">
        <v>93</v>
      </c>
      <c r="G48" s="46">
        <v>2</v>
      </c>
      <c r="H48" s="64">
        <v>450.4</v>
      </c>
      <c r="I48" s="64">
        <v>900.8</v>
      </c>
      <c r="J48" s="64">
        <v>9.23</v>
      </c>
      <c r="K48" s="64">
        <v>18.46</v>
      </c>
      <c r="L48" s="38"/>
      <c r="M48" s="80"/>
      <c r="N48" s="80"/>
      <c r="O48" s="80"/>
      <c r="P48" s="80"/>
      <c r="Q48" s="80"/>
    </row>
    <row r="49" s="76" customFormat="1" ht="24.95" customHeight="1" spans="1:17">
      <c r="A49" s="20">
        <v>43</v>
      </c>
      <c r="B49" s="38" t="s">
        <v>90</v>
      </c>
      <c r="C49" s="39" t="s">
        <v>139</v>
      </c>
      <c r="D49" s="39" t="s">
        <v>137</v>
      </c>
      <c r="E49" s="40">
        <v>5653.3</v>
      </c>
      <c r="F49" s="39" t="s">
        <v>93</v>
      </c>
      <c r="G49" s="46">
        <v>2</v>
      </c>
      <c r="H49" s="64">
        <v>406.3</v>
      </c>
      <c r="I49" s="64">
        <v>812.7</v>
      </c>
      <c r="J49" s="64">
        <v>8.33</v>
      </c>
      <c r="K49" s="64">
        <v>16.66</v>
      </c>
      <c r="L49" s="38"/>
      <c r="M49" s="80"/>
      <c r="N49" s="80"/>
      <c r="O49" s="80"/>
      <c r="P49" s="80"/>
      <c r="Q49" s="80"/>
    </row>
    <row r="50" s="76" customFormat="1" ht="24.95" customHeight="1" spans="1:17">
      <c r="A50" s="20">
        <v>44</v>
      </c>
      <c r="B50" s="38" t="s">
        <v>90</v>
      </c>
      <c r="C50" s="39" t="s">
        <v>140</v>
      </c>
      <c r="D50" s="39" t="s">
        <v>109</v>
      </c>
      <c r="E50" s="40">
        <v>2447</v>
      </c>
      <c r="F50" s="39" t="s">
        <v>93</v>
      </c>
      <c r="G50" s="46">
        <v>1</v>
      </c>
      <c r="H50" s="64">
        <v>119.2</v>
      </c>
      <c r="I50" s="64">
        <v>119.2</v>
      </c>
      <c r="J50" s="64">
        <v>2.91</v>
      </c>
      <c r="K50" s="64">
        <v>2.91</v>
      </c>
      <c r="L50" s="38"/>
      <c r="M50" s="80"/>
      <c r="N50" s="80"/>
      <c r="O50" s="80"/>
      <c r="P50" s="80"/>
      <c r="Q50" s="80"/>
    </row>
    <row r="51" s="76" customFormat="1" ht="24.95" customHeight="1" spans="1:17">
      <c r="A51" s="20">
        <v>45</v>
      </c>
      <c r="B51" s="38" t="s">
        <v>90</v>
      </c>
      <c r="C51" s="39" t="s">
        <v>141</v>
      </c>
      <c r="D51" s="39" t="s">
        <v>142</v>
      </c>
      <c r="E51" s="40">
        <v>2095</v>
      </c>
      <c r="F51" s="39" t="s">
        <v>93</v>
      </c>
      <c r="G51" s="46">
        <v>1</v>
      </c>
      <c r="H51" s="64">
        <v>203.5</v>
      </c>
      <c r="I51" s="64">
        <v>203.5</v>
      </c>
      <c r="J51" s="64">
        <v>4.27</v>
      </c>
      <c r="K51" s="64">
        <v>4.27</v>
      </c>
      <c r="L51" s="38"/>
      <c r="M51" s="80"/>
      <c r="N51" s="80"/>
      <c r="O51" s="80"/>
      <c r="P51" s="80"/>
      <c r="Q51" s="80"/>
    </row>
    <row r="52" s="76" customFormat="1" ht="24.95" customHeight="1" spans="1:17">
      <c r="A52" s="20">
        <v>46</v>
      </c>
      <c r="B52" s="38" t="s">
        <v>90</v>
      </c>
      <c r="C52" s="39" t="s">
        <v>143</v>
      </c>
      <c r="D52" s="39" t="s">
        <v>142</v>
      </c>
      <c r="E52" s="40">
        <v>4741</v>
      </c>
      <c r="F52" s="39" t="s">
        <v>93</v>
      </c>
      <c r="G52" s="46">
        <v>4</v>
      </c>
      <c r="H52" s="64">
        <v>394.8</v>
      </c>
      <c r="I52" s="64">
        <v>1579.4</v>
      </c>
      <c r="J52" s="64">
        <v>8.14</v>
      </c>
      <c r="K52" s="64">
        <v>32.55</v>
      </c>
      <c r="L52" s="38"/>
      <c r="M52" s="80"/>
      <c r="N52" s="80"/>
      <c r="O52" s="80"/>
      <c r="P52" s="80"/>
      <c r="Q52" s="80"/>
    </row>
    <row r="53" s="76" customFormat="1" ht="24.95" customHeight="1" spans="1:17">
      <c r="A53" s="20">
        <v>47</v>
      </c>
      <c r="B53" s="38" t="s">
        <v>90</v>
      </c>
      <c r="C53" s="39" t="s">
        <v>144</v>
      </c>
      <c r="D53" s="39" t="s">
        <v>142</v>
      </c>
      <c r="E53" s="40">
        <v>6461.4</v>
      </c>
      <c r="F53" s="39" t="s">
        <v>93</v>
      </c>
      <c r="G53" s="46">
        <v>2</v>
      </c>
      <c r="H53" s="64">
        <v>546.5</v>
      </c>
      <c r="I53" s="64">
        <v>1092.9</v>
      </c>
      <c r="J53" s="64">
        <v>11.24</v>
      </c>
      <c r="K53" s="64">
        <v>22.48</v>
      </c>
      <c r="L53" s="38"/>
      <c r="M53" s="80"/>
      <c r="N53" s="80"/>
      <c r="O53" s="80"/>
      <c r="P53" s="80"/>
      <c r="Q53" s="80"/>
    </row>
    <row r="54" s="76" customFormat="1" ht="24.95" customHeight="1" spans="1:17">
      <c r="A54" s="20">
        <v>48</v>
      </c>
      <c r="B54" s="38" t="s">
        <v>90</v>
      </c>
      <c r="C54" s="39" t="s">
        <v>145</v>
      </c>
      <c r="D54" s="39" t="s">
        <v>142</v>
      </c>
      <c r="E54" s="40">
        <v>5859.1</v>
      </c>
      <c r="F54" s="39" t="s">
        <v>93</v>
      </c>
      <c r="G54" s="46">
        <v>2</v>
      </c>
      <c r="H54" s="64">
        <v>493.5</v>
      </c>
      <c r="I54" s="64">
        <v>987</v>
      </c>
      <c r="J54" s="64">
        <v>10.16</v>
      </c>
      <c r="K54" s="64">
        <v>20.31</v>
      </c>
      <c r="L54" s="38"/>
      <c r="M54" s="80"/>
      <c r="N54" s="80"/>
      <c r="O54" s="80"/>
      <c r="P54" s="80"/>
      <c r="Q54" s="80"/>
    </row>
    <row r="55" s="76" customFormat="1" ht="24.95" customHeight="1" spans="1:17">
      <c r="A55" s="20">
        <v>49</v>
      </c>
      <c r="B55" s="38" t="s">
        <v>146</v>
      </c>
      <c r="C55" s="39" t="s">
        <v>147</v>
      </c>
      <c r="D55" s="39" t="s">
        <v>137</v>
      </c>
      <c r="E55" s="40">
        <v>2887</v>
      </c>
      <c r="F55" s="39" t="s">
        <v>93</v>
      </c>
      <c r="G55" s="46">
        <v>48</v>
      </c>
      <c r="H55" s="64">
        <v>216.3</v>
      </c>
      <c r="I55" s="64">
        <v>10380.2</v>
      </c>
      <c r="J55" s="64">
        <v>4.66</v>
      </c>
      <c r="K55" s="64">
        <v>223.8</v>
      </c>
      <c r="L55" s="38"/>
      <c r="M55" s="80"/>
      <c r="N55" s="80"/>
      <c r="O55" s="80"/>
      <c r="P55" s="80"/>
      <c r="Q55" s="80"/>
    </row>
    <row r="56" s="76" customFormat="1" ht="24.95" customHeight="1" spans="1:17">
      <c r="A56" s="20">
        <v>50</v>
      </c>
      <c r="B56" s="38" t="s">
        <v>146</v>
      </c>
      <c r="C56" s="39" t="s">
        <v>148</v>
      </c>
      <c r="D56" s="39" t="s">
        <v>137</v>
      </c>
      <c r="E56" s="40">
        <v>1301</v>
      </c>
      <c r="F56" s="39" t="s">
        <v>93</v>
      </c>
      <c r="G56" s="46">
        <v>24</v>
      </c>
      <c r="H56" s="64">
        <v>95</v>
      </c>
      <c r="I56" s="64">
        <v>2279</v>
      </c>
      <c r="J56" s="64">
        <v>1.98</v>
      </c>
      <c r="K56" s="64">
        <v>47.5</v>
      </c>
      <c r="L56" s="38"/>
      <c r="M56" s="80"/>
      <c r="N56" s="80"/>
      <c r="O56" s="80"/>
      <c r="P56" s="80"/>
      <c r="Q56" s="80"/>
    </row>
    <row r="57" s="76" customFormat="1" ht="24.95" customHeight="1" spans="1:17">
      <c r="A57" s="20">
        <v>51</v>
      </c>
      <c r="B57" s="38" t="s">
        <v>146</v>
      </c>
      <c r="C57" s="39" t="s">
        <v>149</v>
      </c>
      <c r="D57" s="39" t="s">
        <v>104</v>
      </c>
      <c r="E57" s="40">
        <v>6400</v>
      </c>
      <c r="F57" s="39" t="s">
        <v>93</v>
      </c>
      <c r="G57" s="46">
        <v>10</v>
      </c>
      <c r="H57" s="64">
        <v>325.2</v>
      </c>
      <c r="I57" s="64">
        <v>3251.9</v>
      </c>
      <c r="J57" s="64">
        <v>9.29</v>
      </c>
      <c r="K57" s="64">
        <v>92.9</v>
      </c>
      <c r="L57" s="38"/>
      <c r="M57" s="80"/>
      <c r="N57" s="80"/>
      <c r="O57" s="80"/>
      <c r="P57" s="80"/>
      <c r="Q57" s="80"/>
    </row>
    <row r="58" s="76" customFormat="1" ht="24.95" customHeight="1" spans="1:17">
      <c r="A58" s="20">
        <v>52</v>
      </c>
      <c r="B58" s="38" t="s">
        <v>146</v>
      </c>
      <c r="C58" s="39" t="s">
        <v>150</v>
      </c>
      <c r="D58" s="39" t="s">
        <v>104</v>
      </c>
      <c r="E58" s="40">
        <v>6400</v>
      </c>
      <c r="F58" s="39" t="s">
        <v>93</v>
      </c>
      <c r="G58" s="46">
        <v>10</v>
      </c>
      <c r="H58" s="64">
        <v>325.2</v>
      </c>
      <c r="I58" s="64">
        <v>3251.9</v>
      </c>
      <c r="J58" s="64">
        <v>9.29</v>
      </c>
      <c r="K58" s="64">
        <v>92.9</v>
      </c>
      <c r="L58" s="38"/>
      <c r="M58" s="80"/>
      <c r="N58" s="80"/>
      <c r="O58" s="80"/>
      <c r="P58" s="80"/>
      <c r="Q58" s="80"/>
    </row>
    <row r="59" s="76" customFormat="1" ht="24.95" customHeight="1" spans="1:17">
      <c r="A59" s="20">
        <v>53</v>
      </c>
      <c r="B59" s="38" t="s">
        <v>146</v>
      </c>
      <c r="C59" s="39" t="s">
        <v>151</v>
      </c>
      <c r="D59" s="39" t="s">
        <v>104</v>
      </c>
      <c r="E59" s="40">
        <v>6400</v>
      </c>
      <c r="F59" s="39" t="s">
        <v>93</v>
      </c>
      <c r="G59" s="46">
        <v>2</v>
      </c>
      <c r="H59" s="64">
        <v>325.2</v>
      </c>
      <c r="I59" s="64">
        <v>650.4</v>
      </c>
      <c r="J59" s="64">
        <v>9.29</v>
      </c>
      <c r="K59" s="64">
        <v>18.58</v>
      </c>
      <c r="L59" s="38"/>
      <c r="M59" s="80"/>
      <c r="N59" s="80"/>
      <c r="O59" s="80"/>
      <c r="P59" s="80"/>
      <c r="Q59" s="80"/>
    </row>
    <row r="60" s="76" customFormat="1" ht="24.95" customHeight="1" spans="1:17">
      <c r="A60" s="20">
        <v>54</v>
      </c>
      <c r="B60" s="38" t="s">
        <v>146</v>
      </c>
      <c r="C60" s="39" t="s">
        <v>152</v>
      </c>
      <c r="D60" s="39" t="s">
        <v>104</v>
      </c>
      <c r="E60" s="40">
        <v>6400</v>
      </c>
      <c r="F60" s="39" t="s">
        <v>93</v>
      </c>
      <c r="G60" s="46">
        <v>2</v>
      </c>
      <c r="H60" s="64">
        <v>325.2</v>
      </c>
      <c r="I60" s="64">
        <v>650.4</v>
      </c>
      <c r="J60" s="64">
        <v>9.29</v>
      </c>
      <c r="K60" s="64">
        <v>18.58</v>
      </c>
      <c r="L60" s="38"/>
      <c r="M60" s="80"/>
      <c r="N60" s="80"/>
      <c r="O60" s="80"/>
      <c r="P60" s="80"/>
      <c r="Q60" s="80"/>
    </row>
    <row r="61" s="76" customFormat="1" ht="24.95" customHeight="1" spans="1:17">
      <c r="A61" s="20">
        <v>55</v>
      </c>
      <c r="B61" s="38" t="s">
        <v>146</v>
      </c>
      <c r="C61" s="39" t="s">
        <v>153</v>
      </c>
      <c r="D61" s="39" t="s">
        <v>104</v>
      </c>
      <c r="E61" s="40">
        <v>6400</v>
      </c>
      <c r="F61" s="39" t="s">
        <v>93</v>
      </c>
      <c r="G61" s="46">
        <v>2</v>
      </c>
      <c r="H61" s="64">
        <v>317</v>
      </c>
      <c r="I61" s="64">
        <v>634.1</v>
      </c>
      <c r="J61" s="64">
        <v>9</v>
      </c>
      <c r="K61" s="64">
        <v>18</v>
      </c>
      <c r="L61" s="38"/>
      <c r="M61" s="80"/>
      <c r="N61" s="80"/>
      <c r="O61" s="80"/>
      <c r="P61" s="80"/>
      <c r="Q61" s="80"/>
    </row>
    <row r="62" s="76" customFormat="1" ht="24.95" customHeight="1" spans="1:17">
      <c r="A62" s="20">
        <v>56</v>
      </c>
      <c r="B62" s="38" t="s">
        <v>146</v>
      </c>
      <c r="C62" s="39" t="s">
        <v>154</v>
      </c>
      <c r="D62" s="39" t="s">
        <v>104</v>
      </c>
      <c r="E62" s="40">
        <v>6400</v>
      </c>
      <c r="F62" s="39" t="s">
        <v>93</v>
      </c>
      <c r="G62" s="46">
        <v>2</v>
      </c>
      <c r="H62" s="64">
        <v>317</v>
      </c>
      <c r="I62" s="64">
        <v>634.1</v>
      </c>
      <c r="J62" s="64">
        <v>9</v>
      </c>
      <c r="K62" s="64">
        <v>18</v>
      </c>
      <c r="L62" s="38"/>
      <c r="M62" s="80"/>
      <c r="N62" s="80"/>
      <c r="O62" s="80"/>
      <c r="P62" s="80"/>
      <c r="Q62" s="80"/>
    </row>
    <row r="63" s="76" customFormat="1" ht="24.95" customHeight="1" spans="1:17">
      <c r="A63" s="20">
        <v>57</v>
      </c>
      <c r="B63" s="38" t="s">
        <v>146</v>
      </c>
      <c r="C63" s="39" t="s">
        <v>155</v>
      </c>
      <c r="D63" s="39" t="s">
        <v>104</v>
      </c>
      <c r="E63" s="40">
        <v>2847</v>
      </c>
      <c r="F63" s="39" t="s">
        <v>93</v>
      </c>
      <c r="G63" s="46">
        <v>1</v>
      </c>
      <c r="H63" s="64">
        <v>141.4</v>
      </c>
      <c r="I63" s="64">
        <v>141.4</v>
      </c>
      <c r="J63" s="64">
        <v>4.03</v>
      </c>
      <c r="K63" s="64">
        <v>4.03</v>
      </c>
      <c r="L63" s="38"/>
      <c r="M63" s="80"/>
      <c r="N63" s="80"/>
      <c r="O63" s="80"/>
      <c r="P63" s="80"/>
      <c r="Q63" s="80"/>
    </row>
    <row r="64" s="76" customFormat="1" ht="24.95" customHeight="1" spans="1:17">
      <c r="A64" s="20">
        <v>58</v>
      </c>
      <c r="B64" s="38" t="s">
        <v>146</v>
      </c>
      <c r="C64" s="39" t="s">
        <v>156</v>
      </c>
      <c r="D64" s="39" t="s">
        <v>104</v>
      </c>
      <c r="E64" s="40">
        <v>2847</v>
      </c>
      <c r="F64" s="39" t="s">
        <v>93</v>
      </c>
      <c r="G64" s="46">
        <v>1</v>
      </c>
      <c r="H64" s="64">
        <v>141.4</v>
      </c>
      <c r="I64" s="64">
        <v>141.4</v>
      </c>
      <c r="J64" s="64">
        <v>4.03</v>
      </c>
      <c r="K64" s="64">
        <v>4.03</v>
      </c>
      <c r="L64" s="38"/>
      <c r="M64" s="80"/>
      <c r="N64" s="80"/>
      <c r="O64" s="80"/>
      <c r="P64" s="80"/>
      <c r="Q64" s="80"/>
    </row>
    <row r="65" s="76" customFormat="1" ht="24.95" customHeight="1" spans="1:17">
      <c r="A65" s="20">
        <v>59</v>
      </c>
      <c r="B65" s="38" t="s">
        <v>146</v>
      </c>
      <c r="C65" s="39" t="s">
        <v>157</v>
      </c>
      <c r="D65" s="39" t="s">
        <v>104</v>
      </c>
      <c r="E65" s="40">
        <v>6196</v>
      </c>
      <c r="F65" s="39" t="s">
        <v>93</v>
      </c>
      <c r="G65" s="46">
        <v>1</v>
      </c>
      <c r="H65" s="64">
        <v>305.5</v>
      </c>
      <c r="I65" s="64">
        <v>305.5</v>
      </c>
      <c r="J65" s="64">
        <v>8.67</v>
      </c>
      <c r="K65" s="64">
        <v>8.67</v>
      </c>
      <c r="L65" s="38"/>
      <c r="M65" s="80"/>
      <c r="N65" s="80"/>
      <c r="O65" s="80"/>
      <c r="P65" s="80"/>
      <c r="Q65" s="80"/>
    </row>
    <row r="66" s="76" customFormat="1" ht="24.95" customHeight="1" spans="1:17">
      <c r="A66" s="20">
        <v>60</v>
      </c>
      <c r="B66" s="38" t="s">
        <v>146</v>
      </c>
      <c r="C66" s="39" t="s">
        <v>158</v>
      </c>
      <c r="D66" s="39" t="s">
        <v>104</v>
      </c>
      <c r="E66" s="40">
        <v>6196</v>
      </c>
      <c r="F66" s="39" t="s">
        <v>93</v>
      </c>
      <c r="G66" s="46">
        <v>1</v>
      </c>
      <c r="H66" s="64">
        <v>305.5</v>
      </c>
      <c r="I66" s="64">
        <v>305.5</v>
      </c>
      <c r="J66" s="64">
        <v>8.67</v>
      </c>
      <c r="K66" s="64">
        <v>8.67</v>
      </c>
      <c r="L66" s="38"/>
      <c r="M66" s="80"/>
      <c r="N66" s="80"/>
      <c r="O66" s="80"/>
      <c r="P66" s="80"/>
      <c r="Q66" s="80"/>
    </row>
    <row r="67" s="76" customFormat="1" ht="24.95" customHeight="1" spans="1:17">
      <c r="A67" s="20">
        <v>61</v>
      </c>
      <c r="B67" s="38" t="s">
        <v>146</v>
      </c>
      <c r="C67" s="39" t="s">
        <v>159</v>
      </c>
      <c r="D67" s="39" t="s">
        <v>104</v>
      </c>
      <c r="E67" s="40">
        <v>6196</v>
      </c>
      <c r="F67" s="39" t="s">
        <v>93</v>
      </c>
      <c r="G67" s="46">
        <v>4</v>
      </c>
      <c r="H67" s="64">
        <v>305.5</v>
      </c>
      <c r="I67" s="64">
        <v>1221.8</v>
      </c>
      <c r="J67" s="64">
        <v>8.67</v>
      </c>
      <c r="K67" s="64">
        <v>34.67</v>
      </c>
      <c r="L67" s="38"/>
      <c r="M67" s="80"/>
      <c r="N67" s="80"/>
      <c r="O67" s="80"/>
      <c r="P67" s="80"/>
      <c r="Q67" s="80"/>
    </row>
    <row r="68" s="76" customFormat="1" ht="24.95" customHeight="1" spans="1:17">
      <c r="A68" s="20">
        <v>62</v>
      </c>
      <c r="B68" s="38" t="s">
        <v>146</v>
      </c>
      <c r="C68" s="39" t="s">
        <v>160</v>
      </c>
      <c r="D68" s="39" t="s">
        <v>104</v>
      </c>
      <c r="E68" s="40">
        <v>2847</v>
      </c>
      <c r="F68" s="39" t="s">
        <v>93</v>
      </c>
      <c r="G68" s="46">
        <v>4</v>
      </c>
      <c r="H68" s="64">
        <v>141.2</v>
      </c>
      <c r="I68" s="64">
        <v>564.7</v>
      </c>
      <c r="J68" s="64">
        <v>4.02</v>
      </c>
      <c r="K68" s="64">
        <v>16.1</v>
      </c>
      <c r="L68" s="38"/>
      <c r="M68" s="80"/>
      <c r="N68" s="80"/>
      <c r="O68" s="80"/>
      <c r="P68" s="80"/>
      <c r="Q68" s="80"/>
    </row>
    <row r="69" s="76" customFormat="1" ht="24.95" customHeight="1" spans="1:17">
      <c r="A69" s="20">
        <v>63</v>
      </c>
      <c r="B69" s="38" t="s">
        <v>146</v>
      </c>
      <c r="C69" s="39" t="s">
        <v>161</v>
      </c>
      <c r="D69" s="39" t="s">
        <v>104</v>
      </c>
      <c r="E69" s="40">
        <v>2837</v>
      </c>
      <c r="F69" s="39" t="s">
        <v>93</v>
      </c>
      <c r="G69" s="46">
        <v>1</v>
      </c>
      <c r="H69" s="64">
        <v>139.5</v>
      </c>
      <c r="I69" s="64">
        <v>139.5</v>
      </c>
      <c r="J69" s="64">
        <v>3.97</v>
      </c>
      <c r="K69" s="64">
        <v>3.97</v>
      </c>
      <c r="L69" s="38"/>
      <c r="M69" s="80"/>
      <c r="N69" s="80"/>
      <c r="O69" s="80"/>
      <c r="P69" s="80"/>
      <c r="Q69" s="80"/>
    </row>
    <row r="70" s="76" customFormat="1" ht="24.95" customHeight="1" spans="1:17">
      <c r="A70" s="20">
        <v>64</v>
      </c>
      <c r="B70" s="38" t="s">
        <v>146</v>
      </c>
      <c r="C70" s="39" t="s">
        <v>162</v>
      </c>
      <c r="D70" s="39" t="s">
        <v>117</v>
      </c>
      <c r="E70" s="40">
        <v>8998</v>
      </c>
      <c r="F70" s="39" t="s">
        <v>93</v>
      </c>
      <c r="G70" s="46">
        <v>15</v>
      </c>
      <c r="H70" s="64">
        <v>1103.2</v>
      </c>
      <c r="I70" s="64">
        <v>16548</v>
      </c>
      <c r="J70" s="64">
        <v>19.55</v>
      </c>
      <c r="K70" s="64">
        <v>293.28</v>
      </c>
      <c r="L70" s="38"/>
      <c r="M70" s="80"/>
      <c r="N70" s="80"/>
      <c r="O70" s="80"/>
      <c r="P70" s="80"/>
      <c r="Q70" s="80"/>
    </row>
    <row r="71" s="76" customFormat="1" ht="24.95" customHeight="1" spans="1:17">
      <c r="A71" s="20">
        <v>65</v>
      </c>
      <c r="B71" s="38" t="s">
        <v>146</v>
      </c>
      <c r="C71" s="39" t="s">
        <v>163</v>
      </c>
      <c r="D71" s="39" t="s">
        <v>117</v>
      </c>
      <c r="E71" s="40">
        <v>6196</v>
      </c>
      <c r="F71" s="39" t="s">
        <v>93</v>
      </c>
      <c r="G71" s="46">
        <v>16</v>
      </c>
      <c r="H71" s="64">
        <v>765.1</v>
      </c>
      <c r="I71" s="64">
        <v>12241.2</v>
      </c>
      <c r="J71" s="64">
        <v>13.62</v>
      </c>
      <c r="K71" s="64">
        <v>217.88</v>
      </c>
      <c r="L71" s="38"/>
      <c r="M71" s="80"/>
      <c r="N71" s="80"/>
      <c r="O71" s="80"/>
      <c r="P71" s="80"/>
      <c r="Q71" s="80"/>
    </row>
    <row r="72" s="76" customFormat="1" ht="24.95" customHeight="1" spans="1:17">
      <c r="A72" s="20">
        <v>66</v>
      </c>
      <c r="B72" s="38" t="s">
        <v>146</v>
      </c>
      <c r="C72" s="39" t="s">
        <v>164</v>
      </c>
      <c r="D72" s="39" t="s">
        <v>117</v>
      </c>
      <c r="E72" s="40">
        <v>2887</v>
      </c>
      <c r="F72" s="39" t="s">
        <v>93</v>
      </c>
      <c r="G72" s="46">
        <v>1</v>
      </c>
      <c r="H72" s="64">
        <v>355.6</v>
      </c>
      <c r="I72" s="64">
        <v>355.6</v>
      </c>
      <c r="J72" s="64">
        <v>6.37</v>
      </c>
      <c r="K72" s="64">
        <v>6.37</v>
      </c>
      <c r="L72" s="38"/>
      <c r="M72" s="80"/>
      <c r="N72" s="80"/>
      <c r="O72" s="80"/>
      <c r="P72" s="80"/>
      <c r="Q72" s="80"/>
    </row>
    <row r="73" s="76" customFormat="1" ht="24.95" customHeight="1" spans="1:17">
      <c r="A73" s="20">
        <v>67</v>
      </c>
      <c r="B73" s="38" t="s">
        <v>146</v>
      </c>
      <c r="C73" s="39" t="s">
        <v>165</v>
      </c>
      <c r="D73" s="39" t="s">
        <v>92</v>
      </c>
      <c r="E73" s="40">
        <v>2797</v>
      </c>
      <c r="F73" s="39" t="s">
        <v>93</v>
      </c>
      <c r="G73" s="46">
        <v>1</v>
      </c>
      <c r="H73" s="64">
        <v>467.2</v>
      </c>
      <c r="I73" s="64">
        <v>467.2</v>
      </c>
      <c r="J73" s="64">
        <v>7.44</v>
      </c>
      <c r="K73" s="64">
        <v>7.44</v>
      </c>
      <c r="L73" s="38"/>
      <c r="M73" s="80"/>
      <c r="N73" s="80"/>
      <c r="O73" s="80"/>
      <c r="P73" s="80"/>
      <c r="Q73" s="80"/>
    </row>
    <row r="74" s="76" customFormat="1" ht="24.95" customHeight="1" spans="1:17">
      <c r="A74" s="20">
        <v>68</v>
      </c>
      <c r="B74" s="38" t="s">
        <v>146</v>
      </c>
      <c r="C74" s="39" t="s">
        <v>166</v>
      </c>
      <c r="D74" s="39" t="s">
        <v>117</v>
      </c>
      <c r="E74" s="40">
        <v>8998</v>
      </c>
      <c r="F74" s="39" t="s">
        <v>93</v>
      </c>
      <c r="G74" s="46">
        <v>1</v>
      </c>
      <c r="H74" s="64">
        <v>1103.2</v>
      </c>
      <c r="I74" s="64">
        <v>1103.2</v>
      </c>
      <c r="J74" s="64">
        <v>19.55</v>
      </c>
      <c r="K74" s="64">
        <v>19.55</v>
      </c>
      <c r="L74" s="38"/>
      <c r="M74" s="80"/>
      <c r="N74" s="80"/>
      <c r="O74" s="80"/>
      <c r="P74" s="80"/>
      <c r="Q74" s="80"/>
    </row>
    <row r="75" s="76" customFormat="1" ht="24.95" customHeight="1" spans="1:17">
      <c r="A75" s="20">
        <v>69</v>
      </c>
      <c r="B75" s="38" t="s">
        <v>146</v>
      </c>
      <c r="C75" s="39" t="s">
        <v>167</v>
      </c>
      <c r="D75" s="39" t="s">
        <v>117</v>
      </c>
      <c r="E75" s="40">
        <v>2391</v>
      </c>
      <c r="F75" s="39" t="s">
        <v>93</v>
      </c>
      <c r="G75" s="46">
        <v>1</v>
      </c>
      <c r="H75" s="64">
        <v>276.3</v>
      </c>
      <c r="I75" s="64">
        <v>276.3</v>
      </c>
      <c r="J75" s="64">
        <v>4.9</v>
      </c>
      <c r="K75" s="64">
        <v>4.9</v>
      </c>
      <c r="L75" s="38"/>
      <c r="M75" s="80"/>
      <c r="N75" s="80"/>
      <c r="O75" s="80"/>
      <c r="P75" s="80"/>
      <c r="Q75" s="80"/>
    </row>
    <row r="76" s="76" customFormat="1" ht="24.95" customHeight="1" spans="1:17">
      <c r="A76" s="20">
        <v>70</v>
      </c>
      <c r="B76" s="38" t="s">
        <v>146</v>
      </c>
      <c r="C76" s="39" t="s">
        <v>168</v>
      </c>
      <c r="D76" s="39" t="s">
        <v>117</v>
      </c>
      <c r="E76" s="40">
        <v>8998</v>
      </c>
      <c r="F76" s="39" t="s">
        <v>93</v>
      </c>
      <c r="G76" s="46">
        <v>2</v>
      </c>
      <c r="H76" s="64">
        <v>1088.1</v>
      </c>
      <c r="I76" s="64">
        <v>2176.2</v>
      </c>
      <c r="J76" s="64">
        <v>19.16</v>
      </c>
      <c r="K76" s="64">
        <v>38.32</v>
      </c>
      <c r="L76" s="38"/>
      <c r="M76" s="80"/>
      <c r="N76" s="80"/>
      <c r="O76" s="80"/>
      <c r="P76" s="80"/>
      <c r="Q76" s="80"/>
    </row>
    <row r="77" s="76" customFormat="1" ht="24.95" customHeight="1" spans="1:17">
      <c r="A77" s="20">
        <v>71</v>
      </c>
      <c r="B77" s="38" t="s">
        <v>146</v>
      </c>
      <c r="C77" s="39" t="s">
        <v>169</v>
      </c>
      <c r="D77" s="39" t="s">
        <v>117</v>
      </c>
      <c r="E77" s="40">
        <v>8998</v>
      </c>
      <c r="F77" s="39" t="s">
        <v>93</v>
      </c>
      <c r="G77" s="46">
        <v>1</v>
      </c>
      <c r="H77" s="64">
        <v>1088.1</v>
      </c>
      <c r="I77" s="64">
        <v>1088.1</v>
      </c>
      <c r="J77" s="64">
        <v>19.16</v>
      </c>
      <c r="K77" s="64">
        <v>19.16</v>
      </c>
      <c r="L77" s="38"/>
      <c r="M77" s="80"/>
      <c r="N77" s="80"/>
      <c r="O77" s="80"/>
      <c r="P77" s="80"/>
      <c r="Q77" s="80"/>
    </row>
    <row r="78" s="76" customFormat="1" ht="24.95" customHeight="1" spans="1:17">
      <c r="A78" s="20">
        <v>72</v>
      </c>
      <c r="B78" s="38" t="s">
        <v>146</v>
      </c>
      <c r="C78" s="39" t="s">
        <v>170</v>
      </c>
      <c r="D78" s="39" t="s">
        <v>117</v>
      </c>
      <c r="E78" s="40">
        <v>6196</v>
      </c>
      <c r="F78" s="39" t="s">
        <v>93</v>
      </c>
      <c r="G78" s="46">
        <v>1</v>
      </c>
      <c r="H78" s="64">
        <v>753.1</v>
      </c>
      <c r="I78" s="64">
        <v>753.1</v>
      </c>
      <c r="J78" s="64">
        <v>13.31</v>
      </c>
      <c r="K78" s="64">
        <v>13.31</v>
      </c>
      <c r="L78" s="38"/>
      <c r="M78" s="80"/>
      <c r="N78" s="80"/>
      <c r="O78" s="80"/>
      <c r="P78" s="80"/>
      <c r="Q78" s="80"/>
    </row>
    <row r="79" s="76" customFormat="1" ht="24.95" customHeight="1" spans="1:17">
      <c r="A79" s="20">
        <v>73</v>
      </c>
      <c r="B79" s="38" t="s">
        <v>146</v>
      </c>
      <c r="C79" s="39" t="s">
        <v>171</v>
      </c>
      <c r="D79" s="39" t="s">
        <v>117</v>
      </c>
      <c r="E79" s="40">
        <v>6196</v>
      </c>
      <c r="F79" s="39" t="s">
        <v>93</v>
      </c>
      <c r="G79" s="46">
        <v>1</v>
      </c>
      <c r="H79" s="64">
        <v>753.1</v>
      </c>
      <c r="I79" s="64">
        <v>753.1</v>
      </c>
      <c r="J79" s="64">
        <v>13.31</v>
      </c>
      <c r="K79" s="64">
        <v>13.31</v>
      </c>
      <c r="L79" s="38"/>
      <c r="M79" s="80"/>
      <c r="N79" s="80"/>
      <c r="O79" s="80"/>
      <c r="P79" s="80"/>
      <c r="Q79" s="80"/>
    </row>
    <row r="80" s="76" customFormat="1" ht="24.95" customHeight="1" spans="1:17">
      <c r="A80" s="20">
        <v>74</v>
      </c>
      <c r="B80" s="38" t="s">
        <v>146</v>
      </c>
      <c r="C80" s="39" t="s">
        <v>172</v>
      </c>
      <c r="D80" s="39" t="s">
        <v>117</v>
      </c>
      <c r="E80" s="40">
        <v>2797</v>
      </c>
      <c r="F80" s="39" t="s">
        <v>93</v>
      </c>
      <c r="G80" s="46">
        <v>1</v>
      </c>
      <c r="H80" s="64">
        <v>337.9</v>
      </c>
      <c r="I80" s="64">
        <v>337.9</v>
      </c>
      <c r="J80" s="64">
        <v>5.98</v>
      </c>
      <c r="K80" s="64">
        <v>5.98</v>
      </c>
      <c r="L80" s="38"/>
      <c r="M80" s="80"/>
      <c r="N80" s="80"/>
      <c r="O80" s="80"/>
      <c r="P80" s="80"/>
      <c r="Q80" s="80"/>
    </row>
    <row r="81" s="76" customFormat="1" ht="24.95" customHeight="1" spans="1:17">
      <c r="A81" s="20">
        <v>75</v>
      </c>
      <c r="B81" s="38" t="s">
        <v>146</v>
      </c>
      <c r="C81" s="39" t="s">
        <v>173</v>
      </c>
      <c r="D81" s="39" t="s">
        <v>117</v>
      </c>
      <c r="E81" s="40">
        <v>2797</v>
      </c>
      <c r="F81" s="39" t="s">
        <v>93</v>
      </c>
      <c r="G81" s="46">
        <v>1</v>
      </c>
      <c r="H81" s="64">
        <v>337.9</v>
      </c>
      <c r="I81" s="64">
        <v>337.9</v>
      </c>
      <c r="J81" s="64">
        <v>5.98</v>
      </c>
      <c r="K81" s="64">
        <v>5.98</v>
      </c>
      <c r="L81" s="38"/>
      <c r="M81" s="80"/>
      <c r="N81" s="80"/>
      <c r="O81" s="80"/>
      <c r="P81" s="80"/>
      <c r="Q81" s="80"/>
    </row>
    <row r="82" s="76" customFormat="1" ht="24.95" customHeight="1" spans="1:17">
      <c r="A82" s="20">
        <v>76</v>
      </c>
      <c r="B82" s="38" t="s">
        <v>146</v>
      </c>
      <c r="C82" s="39" t="s">
        <v>174</v>
      </c>
      <c r="D82" s="39" t="s">
        <v>117</v>
      </c>
      <c r="E82" s="40">
        <v>2797</v>
      </c>
      <c r="F82" s="39" t="s">
        <v>93</v>
      </c>
      <c r="G82" s="46">
        <v>1</v>
      </c>
      <c r="H82" s="64">
        <v>334.8</v>
      </c>
      <c r="I82" s="64">
        <v>334.8</v>
      </c>
      <c r="J82" s="64">
        <v>5.9</v>
      </c>
      <c r="K82" s="64">
        <v>5.9</v>
      </c>
      <c r="L82" s="38"/>
      <c r="M82" s="80"/>
      <c r="N82" s="80"/>
      <c r="O82" s="80"/>
      <c r="P82" s="80"/>
      <c r="Q82" s="80"/>
    </row>
    <row r="83" s="76" customFormat="1" ht="24.95" customHeight="1" spans="1:17">
      <c r="A83" s="20">
        <v>77</v>
      </c>
      <c r="B83" s="38" t="s">
        <v>146</v>
      </c>
      <c r="C83" s="39" t="s">
        <v>175</v>
      </c>
      <c r="D83" s="39" t="s">
        <v>117</v>
      </c>
      <c r="E83" s="40">
        <v>2797</v>
      </c>
      <c r="F83" s="39" t="s">
        <v>93</v>
      </c>
      <c r="G83" s="46">
        <v>1</v>
      </c>
      <c r="H83" s="64">
        <v>334.8</v>
      </c>
      <c r="I83" s="64">
        <v>334.8</v>
      </c>
      <c r="J83" s="64">
        <v>5.9</v>
      </c>
      <c r="K83" s="64">
        <v>5.9</v>
      </c>
      <c r="L83" s="38"/>
      <c r="M83" s="80"/>
      <c r="N83" s="80"/>
      <c r="O83" s="80"/>
      <c r="P83" s="80"/>
      <c r="Q83" s="80"/>
    </row>
    <row r="84" s="76" customFormat="1" ht="24.95" customHeight="1" spans="1:17">
      <c r="A84" s="20">
        <v>78</v>
      </c>
      <c r="B84" s="38" t="s">
        <v>146</v>
      </c>
      <c r="C84" s="39" t="s">
        <v>176</v>
      </c>
      <c r="D84" s="39" t="s">
        <v>117</v>
      </c>
      <c r="E84" s="40">
        <v>2887</v>
      </c>
      <c r="F84" s="39" t="s">
        <v>93</v>
      </c>
      <c r="G84" s="46">
        <v>1</v>
      </c>
      <c r="H84" s="64">
        <v>355.6</v>
      </c>
      <c r="I84" s="64">
        <v>355.6</v>
      </c>
      <c r="J84" s="64">
        <v>6.37</v>
      </c>
      <c r="K84" s="64">
        <v>6.37</v>
      </c>
      <c r="L84" s="38"/>
      <c r="M84" s="80"/>
      <c r="N84" s="80"/>
      <c r="O84" s="80"/>
      <c r="P84" s="80"/>
      <c r="Q84" s="80"/>
    </row>
    <row r="85" s="76" customFormat="1" ht="24.95" customHeight="1" spans="1:17">
      <c r="A85" s="20">
        <v>79</v>
      </c>
      <c r="B85" s="38" t="s">
        <v>146</v>
      </c>
      <c r="C85" s="39" t="s">
        <v>177</v>
      </c>
      <c r="D85" s="39" t="s">
        <v>92</v>
      </c>
      <c r="E85" s="40">
        <v>8998</v>
      </c>
      <c r="F85" s="39" t="s">
        <v>93</v>
      </c>
      <c r="G85" s="46">
        <v>2</v>
      </c>
      <c r="H85" s="64">
        <v>1525.2</v>
      </c>
      <c r="I85" s="64">
        <v>3050.3</v>
      </c>
      <c r="J85" s="64">
        <v>24.14</v>
      </c>
      <c r="K85" s="64">
        <v>48.27</v>
      </c>
      <c r="L85" s="38"/>
      <c r="M85" s="80"/>
      <c r="N85" s="80"/>
      <c r="O85" s="80"/>
      <c r="P85" s="80"/>
      <c r="Q85" s="80"/>
    </row>
    <row r="86" s="76" customFormat="1" ht="24.95" customHeight="1" spans="1:17">
      <c r="A86" s="20">
        <v>80</v>
      </c>
      <c r="B86" s="38" t="s">
        <v>146</v>
      </c>
      <c r="C86" s="39" t="s">
        <v>178</v>
      </c>
      <c r="D86" s="39" t="s">
        <v>92</v>
      </c>
      <c r="E86" s="40">
        <v>8998</v>
      </c>
      <c r="F86" s="39" t="s">
        <v>93</v>
      </c>
      <c r="G86" s="46">
        <v>1</v>
      </c>
      <c r="H86" s="64">
        <v>1525.2</v>
      </c>
      <c r="I86" s="64">
        <v>1525.2</v>
      </c>
      <c r="J86" s="64">
        <v>24.14</v>
      </c>
      <c r="K86" s="64">
        <v>24.14</v>
      </c>
      <c r="L86" s="38"/>
      <c r="M86" s="80"/>
      <c r="N86" s="80"/>
      <c r="O86" s="80"/>
      <c r="P86" s="80"/>
      <c r="Q86" s="80"/>
    </row>
    <row r="87" s="76" customFormat="1" ht="24.95" customHeight="1" spans="1:17">
      <c r="A87" s="20">
        <v>81</v>
      </c>
      <c r="B87" s="38" t="s">
        <v>146</v>
      </c>
      <c r="C87" s="39" t="s">
        <v>179</v>
      </c>
      <c r="D87" s="39" t="s">
        <v>92</v>
      </c>
      <c r="E87" s="40">
        <v>6416</v>
      </c>
      <c r="F87" s="39" t="s">
        <v>93</v>
      </c>
      <c r="G87" s="46">
        <v>1</v>
      </c>
      <c r="H87" s="64">
        <v>1058.2</v>
      </c>
      <c r="I87" s="64">
        <v>1058.2</v>
      </c>
      <c r="J87" s="64">
        <v>16.94</v>
      </c>
      <c r="K87" s="64">
        <v>16.94</v>
      </c>
      <c r="L87" s="38"/>
      <c r="M87" s="80"/>
      <c r="N87" s="80"/>
      <c r="O87" s="80"/>
      <c r="P87" s="80"/>
      <c r="Q87" s="80"/>
    </row>
    <row r="88" s="76" customFormat="1" ht="24.95" customHeight="1" spans="1:17">
      <c r="A88" s="20">
        <v>82</v>
      </c>
      <c r="B88" s="38" t="s">
        <v>146</v>
      </c>
      <c r="C88" s="39" t="s">
        <v>180</v>
      </c>
      <c r="D88" s="39" t="s">
        <v>92</v>
      </c>
      <c r="E88" s="40">
        <v>6416</v>
      </c>
      <c r="F88" s="39" t="s">
        <v>93</v>
      </c>
      <c r="G88" s="46">
        <v>1</v>
      </c>
      <c r="H88" s="64">
        <v>1058.2</v>
      </c>
      <c r="I88" s="64">
        <v>1058.2</v>
      </c>
      <c r="J88" s="64">
        <v>16.94</v>
      </c>
      <c r="K88" s="64">
        <v>16.94</v>
      </c>
      <c r="L88" s="38"/>
      <c r="M88" s="80"/>
      <c r="N88" s="80"/>
      <c r="O88" s="80"/>
      <c r="P88" s="80"/>
      <c r="Q88" s="80"/>
    </row>
    <row r="89" s="76" customFormat="1" ht="24.95" customHeight="1" spans="1:17">
      <c r="A89" s="20">
        <v>83</v>
      </c>
      <c r="B89" s="38" t="s">
        <v>146</v>
      </c>
      <c r="C89" s="39" t="s">
        <v>181</v>
      </c>
      <c r="D89" s="39" t="s">
        <v>92</v>
      </c>
      <c r="E89" s="40">
        <v>2797</v>
      </c>
      <c r="F89" s="39" t="s">
        <v>93</v>
      </c>
      <c r="G89" s="46">
        <v>1</v>
      </c>
      <c r="H89" s="64">
        <v>470.3</v>
      </c>
      <c r="I89" s="64">
        <v>470.3</v>
      </c>
      <c r="J89" s="64">
        <v>7.52</v>
      </c>
      <c r="K89" s="64">
        <v>7.52</v>
      </c>
      <c r="L89" s="38"/>
      <c r="M89" s="80"/>
      <c r="N89" s="80"/>
      <c r="O89" s="80"/>
      <c r="P89" s="80"/>
      <c r="Q89" s="80"/>
    </row>
    <row r="90" s="76" customFormat="1" ht="24.95" customHeight="1" spans="1:17">
      <c r="A90" s="20">
        <v>84</v>
      </c>
      <c r="B90" s="38" t="s">
        <v>146</v>
      </c>
      <c r="C90" s="39" t="s">
        <v>182</v>
      </c>
      <c r="D90" s="39" t="s">
        <v>92</v>
      </c>
      <c r="E90" s="40">
        <v>2797</v>
      </c>
      <c r="F90" s="39" t="s">
        <v>93</v>
      </c>
      <c r="G90" s="46">
        <v>1</v>
      </c>
      <c r="H90" s="64">
        <v>470.3</v>
      </c>
      <c r="I90" s="64">
        <v>470.3</v>
      </c>
      <c r="J90" s="64">
        <v>7.52</v>
      </c>
      <c r="K90" s="64">
        <v>7.52</v>
      </c>
      <c r="L90" s="38"/>
      <c r="M90" s="80"/>
      <c r="N90" s="80"/>
      <c r="O90" s="80"/>
      <c r="P90" s="80"/>
      <c r="Q90" s="80"/>
    </row>
    <row r="91" s="76" customFormat="1" ht="24.95" customHeight="1" spans="1:17">
      <c r="A91" s="20">
        <v>85</v>
      </c>
      <c r="B91" s="38" t="s">
        <v>146</v>
      </c>
      <c r="C91" s="39" t="s">
        <v>183</v>
      </c>
      <c r="D91" s="39" t="s">
        <v>92</v>
      </c>
      <c r="E91" s="40">
        <v>2887</v>
      </c>
      <c r="F91" s="39" t="s">
        <v>93</v>
      </c>
      <c r="G91" s="46">
        <v>1</v>
      </c>
      <c r="H91" s="64">
        <v>497.5</v>
      </c>
      <c r="I91" s="64">
        <v>497.5</v>
      </c>
      <c r="J91" s="64">
        <v>8.09</v>
      </c>
      <c r="K91" s="64">
        <v>8.09</v>
      </c>
      <c r="L91" s="38"/>
      <c r="M91" s="80"/>
      <c r="N91" s="80"/>
      <c r="O91" s="80"/>
      <c r="P91" s="80"/>
      <c r="Q91" s="80"/>
    </row>
    <row r="92" s="76" customFormat="1" ht="24.95" customHeight="1" spans="1:17">
      <c r="A92" s="20">
        <v>86</v>
      </c>
      <c r="B92" s="38" t="s">
        <v>146</v>
      </c>
      <c r="C92" s="39" t="s">
        <v>184</v>
      </c>
      <c r="D92" s="39" t="s">
        <v>92</v>
      </c>
      <c r="E92" s="40">
        <v>2887</v>
      </c>
      <c r="F92" s="39" t="s">
        <v>93</v>
      </c>
      <c r="G92" s="46">
        <v>1</v>
      </c>
      <c r="H92" s="64">
        <v>497.5</v>
      </c>
      <c r="I92" s="64">
        <v>497.5</v>
      </c>
      <c r="J92" s="64">
        <v>8.09</v>
      </c>
      <c r="K92" s="64">
        <v>8.09</v>
      </c>
      <c r="L92" s="38"/>
      <c r="M92" s="80"/>
      <c r="N92" s="80"/>
      <c r="O92" s="80"/>
      <c r="P92" s="80"/>
      <c r="Q92" s="80"/>
    </row>
    <row r="93" s="76" customFormat="1" ht="24.95" customHeight="1" spans="1:17">
      <c r="A93" s="20">
        <v>87</v>
      </c>
      <c r="B93" s="38" t="s">
        <v>146</v>
      </c>
      <c r="C93" s="39" t="s">
        <v>185</v>
      </c>
      <c r="D93" s="39" t="s">
        <v>92</v>
      </c>
      <c r="E93" s="40">
        <v>2797</v>
      </c>
      <c r="F93" s="39" t="s">
        <v>93</v>
      </c>
      <c r="G93" s="46">
        <v>1</v>
      </c>
      <c r="H93" s="64">
        <v>467.2</v>
      </c>
      <c r="I93" s="64">
        <v>467.2</v>
      </c>
      <c r="J93" s="64">
        <v>7.44</v>
      </c>
      <c r="K93" s="64">
        <v>7.44</v>
      </c>
      <c r="L93" s="38"/>
      <c r="M93" s="80"/>
      <c r="N93" s="80"/>
      <c r="O93" s="80"/>
      <c r="P93" s="80"/>
      <c r="Q93" s="80"/>
    </row>
    <row r="94" s="76" customFormat="1" ht="24.95" customHeight="1" spans="1:17">
      <c r="A94" s="20">
        <v>88</v>
      </c>
      <c r="B94" s="38" t="s">
        <v>146</v>
      </c>
      <c r="C94" s="39" t="s">
        <v>186</v>
      </c>
      <c r="D94" s="39" t="s">
        <v>117</v>
      </c>
      <c r="E94" s="40">
        <v>4991</v>
      </c>
      <c r="F94" s="39" t="s">
        <v>93</v>
      </c>
      <c r="G94" s="46">
        <v>1</v>
      </c>
      <c r="H94" s="64">
        <v>625.3</v>
      </c>
      <c r="I94" s="64">
        <v>625.3</v>
      </c>
      <c r="J94" s="64">
        <v>11.08</v>
      </c>
      <c r="K94" s="64">
        <v>11.08</v>
      </c>
      <c r="L94" s="38"/>
      <c r="M94" s="80"/>
      <c r="N94" s="80"/>
      <c r="O94" s="80"/>
      <c r="P94" s="80"/>
      <c r="Q94" s="80"/>
    </row>
    <row r="95" s="76" customFormat="1" ht="24.95" customHeight="1" spans="1:17">
      <c r="A95" s="20">
        <v>89</v>
      </c>
      <c r="B95" s="38" t="s">
        <v>146</v>
      </c>
      <c r="C95" s="39" t="s">
        <v>187</v>
      </c>
      <c r="D95" s="39" t="s">
        <v>117</v>
      </c>
      <c r="E95" s="40">
        <v>4991</v>
      </c>
      <c r="F95" s="39" t="s">
        <v>93</v>
      </c>
      <c r="G95" s="46">
        <v>1</v>
      </c>
      <c r="H95" s="64">
        <v>625.3</v>
      </c>
      <c r="I95" s="64">
        <v>625.3</v>
      </c>
      <c r="J95" s="64">
        <v>11.08</v>
      </c>
      <c r="K95" s="64">
        <v>11.08</v>
      </c>
      <c r="L95" s="38"/>
      <c r="M95" s="80"/>
      <c r="N95" s="80"/>
      <c r="O95" s="80"/>
      <c r="P95" s="80"/>
      <c r="Q95" s="80"/>
    </row>
    <row r="96" s="76" customFormat="1" ht="24.95" customHeight="1" spans="1:17">
      <c r="A96" s="20">
        <v>90</v>
      </c>
      <c r="B96" s="38" t="s">
        <v>146</v>
      </c>
      <c r="C96" s="39" t="s">
        <v>188</v>
      </c>
      <c r="D96" s="39" t="s">
        <v>117</v>
      </c>
      <c r="E96" s="40">
        <v>4991</v>
      </c>
      <c r="F96" s="39" t="s">
        <v>93</v>
      </c>
      <c r="G96" s="46">
        <v>14</v>
      </c>
      <c r="H96" s="64">
        <v>571.5</v>
      </c>
      <c r="I96" s="64">
        <v>8001.5</v>
      </c>
      <c r="J96" s="64">
        <v>9.91</v>
      </c>
      <c r="K96" s="64">
        <v>138.74</v>
      </c>
      <c r="L96" s="38"/>
      <c r="M96" s="80"/>
      <c r="N96" s="80"/>
      <c r="O96" s="80"/>
      <c r="P96" s="80"/>
      <c r="Q96" s="80"/>
    </row>
    <row r="97" s="76" customFormat="1" ht="24.95" customHeight="1" spans="1:17">
      <c r="A97" s="20">
        <v>91</v>
      </c>
      <c r="B97" s="38" t="s">
        <v>146</v>
      </c>
      <c r="C97" s="39" t="s">
        <v>189</v>
      </c>
      <c r="D97" s="39" t="s">
        <v>117</v>
      </c>
      <c r="E97" s="40">
        <v>4758</v>
      </c>
      <c r="F97" s="39" t="s">
        <v>93</v>
      </c>
      <c r="G97" s="46">
        <v>1</v>
      </c>
      <c r="H97" s="64">
        <v>544.6</v>
      </c>
      <c r="I97" s="64">
        <v>544.6</v>
      </c>
      <c r="J97" s="64">
        <v>9.45</v>
      </c>
      <c r="K97" s="64">
        <v>9.45</v>
      </c>
      <c r="L97" s="38"/>
      <c r="M97" s="80"/>
      <c r="N97" s="80"/>
      <c r="O97" s="80"/>
      <c r="P97" s="80"/>
      <c r="Q97" s="80"/>
    </row>
    <row r="98" s="76" customFormat="1" ht="24.95" customHeight="1" spans="1:17">
      <c r="A98" s="20">
        <v>92</v>
      </c>
      <c r="B98" s="38" t="s">
        <v>146</v>
      </c>
      <c r="C98" s="39" t="s">
        <v>190</v>
      </c>
      <c r="D98" s="39" t="s">
        <v>117</v>
      </c>
      <c r="E98" s="40">
        <v>4758</v>
      </c>
      <c r="F98" s="39" t="s">
        <v>93</v>
      </c>
      <c r="G98" s="46">
        <v>1</v>
      </c>
      <c r="H98" s="64">
        <v>544.6</v>
      </c>
      <c r="I98" s="64">
        <v>544.6</v>
      </c>
      <c r="J98" s="64">
        <v>9.45</v>
      </c>
      <c r="K98" s="64">
        <v>9.45</v>
      </c>
      <c r="L98" s="38"/>
      <c r="M98" s="80"/>
      <c r="N98" s="80"/>
      <c r="O98" s="80"/>
      <c r="P98" s="80"/>
      <c r="Q98" s="80"/>
    </row>
    <row r="99" s="76" customFormat="1" ht="24.95" customHeight="1" spans="1:17">
      <c r="A99" s="20">
        <v>93</v>
      </c>
      <c r="B99" s="38" t="s">
        <v>146</v>
      </c>
      <c r="C99" s="39" t="s">
        <v>191</v>
      </c>
      <c r="D99" s="39" t="s">
        <v>117</v>
      </c>
      <c r="E99" s="40">
        <v>4753.5</v>
      </c>
      <c r="F99" s="39" t="s">
        <v>93</v>
      </c>
      <c r="G99" s="46">
        <v>1</v>
      </c>
      <c r="H99" s="64">
        <v>544.1</v>
      </c>
      <c r="I99" s="64">
        <v>544.1</v>
      </c>
      <c r="J99" s="64">
        <v>9.44</v>
      </c>
      <c r="K99" s="64">
        <v>9.44</v>
      </c>
      <c r="L99" s="38"/>
      <c r="M99" s="80"/>
      <c r="N99" s="80"/>
      <c r="O99" s="80"/>
      <c r="P99" s="80"/>
      <c r="Q99" s="80"/>
    </row>
    <row r="100" s="76" customFormat="1" ht="24.95" customHeight="1" spans="1:17">
      <c r="A100" s="20">
        <v>94</v>
      </c>
      <c r="B100" s="38" t="s">
        <v>146</v>
      </c>
      <c r="C100" s="39" t="s">
        <v>192</v>
      </c>
      <c r="D100" s="39" t="s">
        <v>117</v>
      </c>
      <c r="E100" s="40">
        <v>4753.5</v>
      </c>
      <c r="F100" s="39" t="s">
        <v>93</v>
      </c>
      <c r="G100" s="46">
        <v>1</v>
      </c>
      <c r="H100" s="64">
        <v>544.1</v>
      </c>
      <c r="I100" s="64">
        <v>544.1</v>
      </c>
      <c r="J100" s="64">
        <v>9.44</v>
      </c>
      <c r="K100" s="64">
        <v>9.44</v>
      </c>
      <c r="L100" s="38"/>
      <c r="M100" s="80"/>
      <c r="N100" s="80"/>
      <c r="O100" s="80"/>
      <c r="P100" s="80"/>
      <c r="Q100" s="80"/>
    </row>
    <row r="101" s="76" customFormat="1" ht="24.95" customHeight="1" spans="1:17">
      <c r="A101" s="20">
        <v>95</v>
      </c>
      <c r="B101" s="38" t="s">
        <v>146</v>
      </c>
      <c r="C101" s="39" t="s">
        <v>193</v>
      </c>
      <c r="D101" s="39" t="s">
        <v>117</v>
      </c>
      <c r="E101" s="40">
        <v>4991</v>
      </c>
      <c r="F101" s="39" t="s">
        <v>93</v>
      </c>
      <c r="G101" s="46">
        <v>14</v>
      </c>
      <c r="H101" s="64">
        <v>571.5</v>
      </c>
      <c r="I101" s="64">
        <v>8001.5</v>
      </c>
      <c r="J101" s="64">
        <v>9.91</v>
      </c>
      <c r="K101" s="64">
        <v>138.74</v>
      </c>
      <c r="L101" s="38"/>
      <c r="M101" s="80"/>
      <c r="N101" s="80"/>
      <c r="O101" s="80"/>
      <c r="P101" s="80"/>
      <c r="Q101" s="80"/>
    </row>
    <row r="102" s="76" customFormat="1" ht="24.95" customHeight="1" spans="1:17">
      <c r="A102" s="20">
        <v>96</v>
      </c>
      <c r="B102" s="38" t="s">
        <v>146</v>
      </c>
      <c r="C102" s="39" t="s">
        <v>194</v>
      </c>
      <c r="D102" s="39" t="s">
        <v>117</v>
      </c>
      <c r="E102" s="40">
        <v>4991</v>
      </c>
      <c r="F102" s="39" t="s">
        <v>93</v>
      </c>
      <c r="G102" s="46">
        <v>12</v>
      </c>
      <c r="H102" s="64">
        <v>571.5</v>
      </c>
      <c r="I102" s="64">
        <v>6858.4</v>
      </c>
      <c r="J102" s="64">
        <v>9.91</v>
      </c>
      <c r="K102" s="64">
        <v>118.92</v>
      </c>
      <c r="L102" s="38"/>
      <c r="M102" s="80"/>
      <c r="N102" s="80"/>
      <c r="O102" s="80"/>
      <c r="P102" s="80"/>
      <c r="Q102" s="80"/>
    </row>
    <row r="103" s="76" customFormat="1" ht="24.95" customHeight="1" spans="1:17">
      <c r="A103" s="20">
        <v>97</v>
      </c>
      <c r="B103" s="38" t="s">
        <v>146</v>
      </c>
      <c r="C103" s="39" t="s">
        <v>195</v>
      </c>
      <c r="D103" s="39" t="s">
        <v>117</v>
      </c>
      <c r="E103" s="40">
        <v>2113.5</v>
      </c>
      <c r="F103" s="39" t="s">
        <v>93</v>
      </c>
      <c r="G103" s="46">
        <v>1</v>
      </c>
      <c r="H103" s="64">
        <v>236.1</v>
      </c>
      <c r="I103" s="64">
        <v>236.1</v>
      </c>
      <c r="J103" s="64">
        <v>4.11</v>
      </c>
      <c r="K103" s="64">
        <v>4.11</v>
      </c>
      <c r="L103" s="38"/>
      <c r="M103" s="80"/>
      <c r="N103" s="80"/>
      <c r="O103" s="80"/>
      <c r="P103" s="80"/>
      <c r="Q103" s="80"/>
    </row>
    <row r="104" s="76" customFormat="1" ht="24.95" customHeight="1" spans="1:17">
      <c r="A104" s="20">
        <v>98</v>
      </c>
      <c r="B104" s="38" t="s">
        <v>146</v>
      </c>
      <c r="C104" s="39" t="s">
        <v>196</v>
      </c>
      <c r="D104" s="39" t="s">
        <v>117</v>
      </c>
      <c r="E104" s="40">
        <v>4758</v>
      </c>
      <c r="F104" s="39" t="s">
        <v>93</v>
      </c>
      <c r="G104" s="46">
        <v>1</v>
      </c>
      <c r="H104" s="64">
        <v>544.6</v>
      </c>
      <c r="I104" s="64">
        <v>544.6</v>
      </c>
      <c r="J104" s="64">
        <v>9.45</v>
      </c>
      <c r="K104" s="64">
        <v>9.45</v>
      </c>
      <c r="L104" s="38"/>
      <c r="M104" s="80"/>
      <c r="N104" s="80"/>
      <c r="O104" s="80"/>
      <c r="P104" s="80"/>
      <c r="Q104" s="80"/>
    </row>
    <row r="105" s="76" customFormat="1" ht="24.95" customHeight="1" spans="1:17">
      <c r="A105" s="20">
        <v>99</v>
      </c>
      <c r="B105" s="38" t="s">
        <v>146</v>
      </c>
      <c r="C105" s="39" t="s">
        <v>197</v>
      </c>
      <c r="D105" s="39" t="s">
        <v>117</v>
      </c>
      <c r="E105" s="40">
        <v>4758</v>
      </c>
      <c r="F105" s="39" t="s">
        <v>93</v>
      </c>
      <c r="G105" s="46">
        <v>1</v>
      </c>
      <c r="H105" s="64">
        <v>544.6</v>
      </c>
      <c r="I105" s="64">
        <v>544.6</v>
      </c>
      <c r="J105" s="64">
        <v>9.45</v>
      </c>
      <c r="K105" s="64">
        <v>9.45</v>
      </c>
      <c r="L105" s="38"/>
      <c r="M105" s="80"/>
      <c r="N105" s="80"/>
      <c r="O105" s="80"/>
      <c r="P105" s="80"/>
      <c r="Q105" s="80"/>
    </row>
    <row r="106" s="76" customFormat="1" ht="24.95" customHeight="1" spans="1:17">
      <c r="A106" s="20">
        <v>100</v>
      </c>
      <c r="B106" s="38" t="s">
        <v>146</v>
      </c>
      <c r="C106" s="39" t="s">
        <v>198</v>
      </c>
      <c r="D106" s="39" t="s">
        <v>117</v>
      </c>
      <c r="E106" s="40">
        <v>4758</v>
      </c>
      <c r="F106" s="39" t="s">
        <v>93</v>
      </c>
      <c r="G106" s="46">
        <v>1</v>
      </c>
      <c r="H106" s="64">
        <v>544.6</v>
      </c>
      <c r="I106" s="64">
        <v>544.6</v>
      </c>
      <c r="J106" s="64">
        <v>9.45</v>
      </c>
      <c r="K106" s="64">
        <v>9.45</v>
      </c>
      <c r="L106" s="38"/>
      <c r="M106" s="80"/>
      <c r="N106" s="80"/>
      <c r="O106" s="80"/>
      <c r="P106" s="80"/>
      <c r="Q106" s="80"/>
    </row>
    <row r="107" s="76" customFormat="1" ht="24.95" customHeight="1" spans="1:17">
      <c r="A107" s="20">
        <v>101</v>
      </c>
      <c r="B107" s="38" t="s">
        <v>146</v>
      </c>
      <c r="C107" s="39" t="s">
        <v>199</v>
      </c>
      <c r="D107" s="39" t="s">
        <v>117</v>
      </c>
      <c r="E107" s="40">
        <v>1301</v>
      </c>
      <c r="F107" s="39" t="s">
        <v>93</v>
      </c>
      <c r="G107" s="46">
        <v>4</v>
      </c>
      <c r="H107" s="64">
        <v>150.7</v>
      </c>
      <c r="I107" s="64">
        <v>602.8</v>
      </c>
      <c r="J107" s="64">
        <v>2.63</v>
      </c>
      <c r="K107" s="64">
        <v>10.51</v>
      </c>
      <c r="L107" s="38"/>
      <c r="M107" s="80"/>
      <c r="N107" s="80"/>
      <c r="O107" s="80"/>
      <c r="P107" s="80"/>
      <c r="Q107" s="80"/>
    </row>
    <row r="108" s="76" customFormat="1" ht="24.95" customHeight="1" spans="1:17">
      <c r="A108" s="20">
        <v>102</v>
      </c>
      <c r="B108" s="38" t="s">
        <v>146</v>
      </c>
      <c r="C108" s="39" t="s">
        <v>200</v>
      </c>
      <c r="D108" s="39" t="s">
        <v>117</v>
      </c>
      <c r="E108" s="40">
        <v>2003.5</v>
      </c>
      <c r="F108" s="39" t="s">
        <v>93</v>
      </c>
      <c r="G108" s="46">
        <v>4</v>
      </c>
      <c r="H108" s="64">
        <v>231.9</v>
      </c>
      <c r="I108" s="64">
        <v>927.5</v>
      </c>
      <c r="J108" s="64">
        <v>4.02</v>
      </c>
      <c r="K108" s="64">
        <v>16.06</v>
      </c>
      <c r="L108" s="38"/>
      <c r="M108" s="80"/>
      <c r="N108" s="80"/>
      <c r="O108" s="80"/>
      <c r="P108" s="80"/>
      <c r="Q108" s="80"/>
    </row>
    <row r="109" s="76" customFormat="1" ht="24.95" customHeight="1" spans="1:17">
      <c r="A109" s="20">
        <v>103</v>
      </c>
      <c r="B109" s="38" t="s">
        <v>146</v>
      </c>
      <c r="C109" s="39" t="s">
        <v>201</v>
      </c>
      <c r="D109" s="39" t="s">
        <v>117</v>
      </c>
      <c r="E109" s="40">
        <v>2887</v>
      </c>
      <c r="F109" s="39" t="s">
        <v>93</v>
      </c>
      <c r="G109" s="46">
        <v>1</v>
      </c>
      <c r="H109" s="64">
        <v>344.3</v>
      </c>
      <c r="I109" s="64">
        <v>344.3</v>
      </c>
      <c r="J109" s="64">
        <v>6.05</v>
      </c>
      <c r="K109" s="64">
        <v>6.05</v>
      </c>
      <c r="L109" s="38"/>
      <c r="M109" s="80"/>
      <c r="N109" s="80"/>
      <c r="O109" s="80"/>
      <c r="P109" s="80"/>
      <c r="Q109" s="80"/>
    </row>
    <row r="110" s="76" customFormat="1" ht="24.95" customHeight="1" spans="1:17">
      <c r="A110" s="20">
        <v>104</v>
      </c>
      <c r="B110" s="38" t="s">
        <v>146</v>
      </c>
      <c r="C110" s="39" t="s">
        <v>202</v>
      </c>
      <c r="D110" s="39" t="s">
        <v>92</v>
      </c>
      <c r="E110" s="40">
        <v>2887</v>
      </c>
      <c r="F110" s="39" t="s">
        <v>93</v>
      </c>
      <c r="G110" s="46">
        <v>1</v>
      </c>
      <c r="H110" s="64">
        <v>480.8</v>
      </c>
      <c r="I110" s="64">
        <v>480.8</v>
      </c>
      <c r="J110" s="64">
        <v>7.63</v>
      </c>
      <c r="K110" s="64">
        <v>7.63</v>
      </c>
      <c r="L110" s="38"/>
      <c r="M110" s="80"/>
      <c r="N110" s="80"/>
      <c r="O110" s="80"/>
      <c r="P110" s="80"/>
      <c r="Q110" s="80"/>
    </row>
    <row r="111" s="76" customFormat="1" ht="24.95" customHeight="1" spans="1:17">
      <c r="A111" s="20">
        <v>105</v>
      </c>
      <c r="B111" s="38" t="s">
        <v>146</v>
      </c>
      <c r="C111" s="39" t="s">
        <v>203</v>
      </c>
      <c r="D111" s="39" t="s">
        <v>117</v>
      </c>
      <c r="E111" s="40">
        <v>9385</v>
      </c>
      <c r="F111" s="39" t="s">
        <v>93</v>
      </c>
      <c r="G111" s="46">
        <v>1</v>
      </c>
      <c r="H111" s="64">
        <v>1138.4</v>
      </c>
      <c r="I111" s="64">
        <v>1138.4</v>
      </c>
      <c r="J111" s="64">
        <v>20.15</v>
      </c>
      <c r="K111" s="64">
        <v>20.15</v>
      </c>
      <c r="L111" s="38"/>
      <c r="M111" s="80"/>
      <c r="N111" s="80"/>
      <c r="O111" s="80"/>
      <c r="P111" s="80"/>
      <c r="Q111" s="80"/>
    </row>
    <row r="112" s="76" customFormat="1" ht="24.95" customHeight="1" spans="1:17">
      <c r="A112" s="20">
        <v>106</v>
      </c>
      <c r="B112" s="38" t="s">
        <v>146</v>
      </c>
      <c r="C112" s="39" t="s">
        <v>204</v>
      </c>
      <c r="D112" s="39" t="s">
        <v>117</v>
      </c>
      <c r="E112" s="40">
        <v>9385</v>
      </c>
      <c r="F112" s="39" t="s">
        <v>93</v>
      </c>
      <c r="G112" s="46">
        <v>1</v>
      </c>
      <c r="H112" s="64">
        <v>1138.4</v>
      </c>
      <c r="I112" s="64">
        <v>1138.4</v>
      </c>
      <c r="J112" s="64">
        <v>20.15</v>
      </c>
      <c r="K112" s="64">
        <v>20.15</v>
      </c>
      <c r="L112" s="38"/>
      <c r="M112" s="80"/>
      <c r="N112" s="80"/>
      <c r="O112" s="80"/>
      <c r="P112" s="80"/>
      <c r="Q112" s="80"/>
    </row>
    <row r="113" s="76" customFormat="1" ht="24.95" customHeight="1" spans="1:17">
      <c r="A113" s="20">
        <v>107</v>
      </c>
      <c r="B113" s="38" t="s">
        <v>146</v>
      </c>
      <c r="C113" s="39" t="s">
        <v>205</v>
      </c>
      <c r="D113" s="39" t="s">
        <v>92</v>
      </c>
      <c r="E113" s="40">
        <v>5053.5</v>
      </c>
      <c r="F113" s="39" t="s">
        <v>93</v>
      </c>
      <c r="G113" s="46">
        <v>1</v>
      </c>
      <c r="H113" s="64">
        <v>850.9</v>
      </c>
      <c r="I113" s="64">
        <v>850.9</v>
      </c>
      <c r="J113" s="64">
        <v>13.72</v>
      </c>
      <c r="K113" s="64">
        <v>13.72</v>
      </c>
      <c r="L113" s="38"/>
      <c r="M113" s="80"/>
      <c r="N113" s="80"/>
      <c r="O113" s="80"/>
      <c r="P113" s="80"/>
      <c r="Q113" s="80"/>
    </row>
    <row r="114" s="76" customFormat="1" ht="24.95" customHeight="1" spans="1:17">
      <c r="A114" s="20">
        <v>108</v>
      </c>
      <c r="B114" s="38" t="s">
        <v>146</v>
      </c>
      <c r="C114" s="39" t="s">
        <v>206</v>
      </c>
      <c r="D114" s="39" t="s">
        <v>92</v>
      </c>
      <c r="E114" s="40">
        <v>5291</v>
      </c>
      <c r="F114" s="39" t="s">
        <v>93</v>
      </c>
      <c r="G114" s="46">
        <v>12</v>
      </c>
      <c r="H114" s="64">
        <v>889.2</v>
      </c>
      <c r="I114" s="64">
        <v>10670.6</v>
      </c>
      <c r="J114" s="64">
        <v>14.31</v>
      </c>
      <c r="K114" s="64">
        <v>171.68</v>
      </c>
      <c r="L114" s="38"/>
      <c r="M114" s="80"/>
      <c r="N114" s="80"/>
      <c r="O114" s="80"/>
      <c r="P114" s="80"/>
      <c r="Q114" s="80"/>
    </row>
    <row r="115" s="76" customFormat="1" ht="24.95" customHeight="1" spans="1:17">
      <c r="A115" s="20">
        <v>109</v>
      </c>
      <c r="B115" s="38" t="s">
        <v>146</v>
      </c>
      <c r="C115" s="39" t="s">
        <v>207</v>
      </c>
      <c r="D115" s="39" t="s">
        <v>92</v>
      </c>
      <c r="E115" s="40">
        <v>5291</v>
      </c>
      <c r="F115" s="39" t="s">
        <v>93</v>
      </c>
      <c r="G115" s="46">
        <v>14</v>
      </c>
      <c r="H115" s="64">
        <v>889.2</v>
      </c>
      <c r="I115" s="64">
        <v>12449</v>
      </c>
      <c r="J115" s="64">
        <v>14.31</v>
      </c>
      <c r="K115" s="64">
        <v>200.29</v>
      </c>
      <c r="L115" s="38"/>
      <c r="M115" s="80"/>
      <c r="N115" s="80"/>
      <c r="O115" s="80"/>
      <c r="P115" s="80"/>
      <c r="Q115" s="80"/>
    </row>
    <row r="116" s="76" customFormat="1" ht="24.95" customHeight="1" spans="1:17">
      <c r="A116" s="20">
        <v>110</v>
      </c>
      <c r="B116" s="38" t="s">
        <v>146</v>
      </c>
      <c r="C116" s="39" t="s">
        <v>208</v>
      </c>
      <c r="D116" s="39" t="s">
        <v>92</v>
      </c>
      <c r="E116" s="40">
        <v>5058</v>
      </c>
      <c r="F116" s="39" t="s">
        <v>93</v>
      </c>
      <c r="G116" s="46">
        <v>1</v>
      </c>
      <c r="H116" s="64">
        <v>851.6</v>
      </c>
      <c r="I116" s="64">
        <v>851.6</v>
      </c>
      <c r="J116" s="64">
        <v>13.73</v>
      </c>
      <c r="K116" s="64">
        <v>13.73</v>
      </c>
      <c r="L116" s="38"/>
      <c r="M116" s="80"/>
      <c r="N116" s="80"/>
      <c r="O116" s="80"/>
      <c r="P116" s="80"/>
      <c r="Q116" s="80"/>
    </row>
    <row r="117" s="76" customFormat="1" ht="24.95" customHeight="1" spans="1:17">
      <c r="A117" s="20">
        <v>111</v>
      </c>
      <c r="B117" s="38" t="s">
        <v>146</v>
      </c>
      <c r="C117" s="39" t="s">
        <v>209</v>
      </c>
      <c r="D117" s="39" t="s">
        <v>92</v>
      </c>
      <c r="E117" s="40">
        <v>5058</v>
      </c>
      <c r="F117" s="39" t="s">
        <v>93</v>
      </c>
      <c r="G117" s="46">
        <v>1</v>
      </c>
      <c r="H117" s="64">
        <v>851.6</v>
      </c>
      <c r="I117" s="64">
        <v>851.6</v>
      </c>
      <c r="J117" s="64">
        <v>13.73</v>
      </c>
      <c r="K117" s="64">
        <v>13.73</v>
      </c>
      <c r="L117" s="38"/>
      <c r="M117" s="80"/>
      <c r="N117" s="80"/>
      <c r="O117" s="80"/>
      <c r="P117" s="80"/>
      <c r="Q117" s="80"/>
    </row>
    <row r="118" s="76" customFormat="1" ht="24.95" customHeight="1" spans="1:17">
      <c r="A118" s="20">
        <v>112</v>
      </c>
      <c r="B118" s="38" t="s">
        <v>146</v>
      </c>
      <c r="C118" s="39" t="s">
        <v>210</v>
      </c>
      <c r="D118" s="39" t="s">
        <v>92</v>
      </c>
      <c r="E118" s="40">
        <v>5058</v>
      </c>
      <c r="F118" s="39" t="s">
        <v>93</v>
      </c>
      <c r="G118" s="46">
        <v>1</v>
      </c>
      <c r="H118" s="64">
        <v>851.6</v>
      </c>
      <c r="I118" s="64">
        <v>851.6</v>
      </c>
      <c r="J118" s="64">
        <v>13.73</v>
      </c>
      <c r="K118" s="64">
        <v>13.73</v>
      </c>
      <c r="L118" s="38"/>
      <c r="M118" s="80"/>
      <c r="N118" s="80"/>
      <c r="O118" s="80"/>
      <c r="P118" s="80"/>
      <c r="Q118" s="80"/>
    </row>
    <row r="119" s="76" customFormat="1" ht="24.95" customHeight="1" spans="1:17">
      <c r="A119" s="20">
        <v>113</v>
      </c>
      <c r="B119" s="38" t="s">
        <v>146</v>
      </c>
      <c r="C119" s="39" t="s">
        <v>211</v>
      </c>
      <c r="D119" s="39" t="s">
        <v>92</v>
      </c>
      <c r="E119" s="40">
        <v>5291</v>
      </c>
      <c r="F119" s="39" t="s">
        <v>93</v>
      </c>
      <c r="G119" s="46">
        <v>2</v>
      </c>
      <c r="H119" s="64">
        <v>889.2</v>
      </c>
      <c r="I119" s="64">
        <v>1778.4</v>
      </c>
      <c r="J119" s="64">
        <v>14.31</v>
      </c>
      <c r="K119" s="64">
        <v>28.61</v>
      </c>
      <c r="L119" s="38"/>
      <c r="M119" s="80"/>
      <c r="N119" s="80"/>
      <c r="O119" s="80"/>
      <c r="P119" s="80"/>
      <c r="Q119" s="80"/>
    </row>
    <row r="120" s="76" customFormat="1" ht="24.95" customHeight="1" spans="1:17">
      <c r="A120" s="20">
        <v>114</v>
      </c>
      <c r="B120" s="38" t="s">
        <v>146</v>
      </c>
      <c r="C120" s="39" t="s">
        <v>212</v>
      </c>
      <c r="D120" s="39" t="s">
        <v>92</v>
      </c>
      <c r="E120" s="40">
        <v>5053.5</v>
      </c>
      <c r="F120" s="39" t="s">
        <v>93</v>
      </c>
      <c r="G120" s="46">
        <v>1</v>
      </c>
      <c r="H120" s="64">
        <v>851</v>
      </c>
      <c r="I120" s="64">
        <v>851</v>
      </c>
      <c r="J120" s="64">
        <v>13.72</v>
      </c>
      <c r="K120" s="64">
        <v>13.72</v>
      </c>
      <c r="L120" s="38"/>
      <c r="M120" s="80"/>
      <c r="N120" s="80"/>
      <c r="O120" s="80"/>
      <c r="P120" s="80"/>
      <c r="Q120" s="80"/>
    </row>
    <row r="121" s="76" customFormat="1" ht="24.95" customHeight="1" spans="1:17">
      <c r="A121" s="20">
        <v>115</v>
      </c>
      <c r="B121" s="38" t="s">
        <v>146</v>
      </c>
      <c r="C121" s="39" t="s">
        <v>213</v>
      </c>
      <c r="D121" s="39" t="s">
        <v>117</v>
      </c>
      <c r="E121" s="40">
        <v>2847</v>
      </c>
      <c r="F121" s="39" t="s">
        <v>93</v>
      </c>
      <c r="G121" s="46">
        <v>1</v>
      </c>
      <c r="H121" s="64">
        <v>340.6</v>
      </c>
      <c r="I121" s="64">
        <v>340.6</v>
      </c>
      <c r="J121" s="64">
        <v>6</v>
      </c>
      <c r="K121" s="64">
        <v>6</v>
      </c>
      <c r="L121" s="38"/>
      <c r="M121" s="80"/>
      <c r="N121" s="80"/>
      <c r="O121" s="80"/>
      <c r="P121" s="80"/>
      <c r="Q121" s="80"/>
    </row>
    <row r="122" s="76" customFormat="1" ht="24.95" customHeight="1" spans="1:17">
      <c r="A122" s="20">
        <v>116</v>
      </c>
      <c r="B122" s="38" t="s">
        <v>146</v>
      </c>
      <c r="C122" s="39" t="s">
        <v>214</v>
      </c>
      <c r="D122" s="39" t="s">
        <v>92</v>
      </c>
      <c r="E122" s="40">
        <v>5291</v>
      </c>
      <c r="F122" s="39" t="s">
        <v>93</v>
      </c>
      <c r="G122" s="46">
        <v>14</v>
      </c>
      <c r="H122" s="64">
        <v>876.8</v>
      </c>
      <c r="I122" s="64">
        <v>12274.7</v>
      </c>
      <c r="J122" s="64">
        <v>14.02</v>
      </c>
      <c r="K122" s="64">
        <v>196.32</v>
      </c>
      <c r="L122" s="38"/>
      <c r="M122" s="80"/>
      <c r="N122" s="80"/>
      <c r="O122" s="80"/>
      <c r="P122" s="80"/>
      <c r="Q122" s="80"/>
    </row>
    <row r="123" s="76" customFormat="1" ht="24.95" customHeight="1" spans="1:17">
      <c r="A123" s="20">
        <v>117</v>
      </c>
      <c r="B123" s="38" t="s">
        <v>146</v>
      </c>
      <c r="C123" s="39" t="s">
        <v>215</v>
      </c>
      <c r="D123" s="39" t="s">
        <v>92</v>
      </c>
      <c r="E123" s="40">
        <v>5058</v>
      </c>
      <c r="F123" s="39" t="s">
        <v>93</v>
      </c>
      <c r="G123" s="46">
        <v>1</v>
      </c>
      <c r="H123" s="64">
        <v>839.2</v>
      </c>
      <c r="I123" s="64">
        <v>839.2</v>
      </c>
      <c r="J123" s="64">
        <v>13.45</v>
      </c>
      <c r="K123" s="64">
        <v>13.45</v>
      </c>
      <c r="L123" s="38"/>
      <c r="M123" s="80"/>
      <c r="N123" s="80"/>
      <c r="O123" s="80"/>
      <c r="P123" s="80"/>
      <c r="Q123" s="80"/>
    </row>
    <row r="124" s="76" customFormat="1" ht="24.95" customHeight="1" spans="1:17">
      <c r="A124" s="20">
        <v>118</v>
      </c>
      <c r="B124" s="38" t="s">
        <v>146</v>
      </c>
      <c r="C124" s="39" t="s">
        <v>216</v>
      </c>
      <c r="D124" s="39" t="s">
        <v>92</v>
      </c>
      <c r="E124" s="40">
        <v>5058</v>
      </c>
      <c r="F124" s="39" t="s">
        <v>93</v>
      </c>
      <c r="G124" s="46">
        <v>1</v>
      </c>
      <c r="H124" s="64">
        <v>839.2</v>
      </c>
      <c r="I124" s="64">
        <v>839.2</v>
      </c>
      <c r="J124" s="64">
        <v>13.45</v>
      </c>
      <c r="K124" s="64">
        <v>13.45</v>
      </c>
      <c r="L124" s="38"/>
      <c r="M124" s="80"/>
      <c r="N124" s="80"/>
      <c r="O124" s="80"/>
      <c r="P124" s="80"/>
      <c r="Q124" s="80"/>
    </row>
    <row r="125" s="76" customFormat="1" ht="24.95" customHeight="1" spans="1:17">
      <c r="A125" s="20">
        <v>119</v>
      </c>
      <c r="B125" s="38" t="s">
        <v>146</v>
      </c>
      <c r="C125" s="39" t="s">
        <v>217</v>
      </c>
      <c r="D125" s="39" t="s">
        <v>92</v>
      </c>
      <c r="E125" s="40">
        <v>1601</v>
      </c>
      <c r="F125" s="39" t="s">
        <v>93</v>
      </c>
      <c r="G125" s="46">
        <v>1</v>
      </c>
      <c r="H125" s="64">
        <v>271.6</v>
      </c>
      <c r="I125" s="64">
        <v>271.6</v>
      </c>
      <c r="J125" s="64">
        <v>4.41</v>
      </c>
      <c r="K125" s="64">
        <v>4.41</v>
      </c>
      <c r="L125" s="38"/>
      <c r="M125" s="80"/>
      <c r="N125" s="80"/>
      <c r="O125" s="80"/>
      <c r="P125" s="80"/>
      <c r="Q125" s="80"/>
    </row>
    <row r="126" s="76" customFormat="1" ht="24.95" customHeight="1" spans="1:17">
      <c r="A126" s="20">
        <v>120</v>
      </c>
      <c r="B126" s="38" t="s">
        <v>146</v>
      </c>
      <c r="C126" s="39" t="s">
        <v>218</v>
      </c>
      <c r="D126" s="39" t="s">
        <v>92</v>
      </c>
      <c r="E126" s="40">
        <v>1601</v>
      </c>
      <c r="F126" s="39" t="s">
        <v>93</v>
      </c>
      <c r="G126" s="46">
        <v>1</v>
      </c>
      <c r="H126" s="64">
        <v>271.6</v>
      </c>
      <c r="I126" s="64">
        <v>271.6</v>
      </c>
      <c r="J126" s="64">
        <v>4.41</v>
      </c>
      <c r="K126" s="64">
        <v>4.41</v>
      </c>
      <c r="L126" s="38"/>
      <c r="M126" s="80"/>
      <c r="N126" s="80"/>
      <c r="O126" s="80"/>
      <c r="P126" s="80"/>
      <c r="Q126" s="80"/>
    </row>
    <row r="127" s="76" customFormat="1" ht="24.95" customHeight="1" spans="1:17">
      <c r="A127" s="20">
        <v>121</v>
      </c>
      <c r="B127" s="38" t="s">
        <v>146</v>
      </c>
      <c r="C127" s="39" t="s">
        <v>219</v>
      </c>
      <c r="D127" s="39" t="s">
        <v>92</v>
      </c>
      <c r="E127" s="40">
        <v>2303.5</v>
      </c>
      <c r="F127" s="39" t="s">
        <v>93</v>
      </c>
      <c r="G127" s="46">
        <v>1</v>
      </c>
      <c r="H127" s="64">
        <v>384.8</v>
      </c>
      <c r="I127" s="64">
        <v>384.8</v>
      </c>
      <c r="J127" s="64">
        <v>6.15</v>
      </c>
      <c r="K127" s="64">
        <v>6.15</v>
      </c>
      <c r="L127" s="38"/>
      <c r="M127" s="80"/>
      <c r="N127" s="80"/>
      <c r="O127" s="80"/>
      <c r="P127" s="80"/>
      <c r="Q127" s="80"/>
    </row>
    <row r="128" s="76" customFormat="1" ht="24.95" customHeight="1" spans="1:17">
      <c r="A128" s="20">
        <v>122</v>
      </c>
      <c r="B128" s="38" t="s">
        <v>146</v>
      </c>
      <c r="C128" s="39" t="s">
        <v>220</v>
      </c>
      <c r="D128" s="39" t="s">
        <v>92</v>
      </c>
      <c r="E128" s="40">
        <v>2303.5</v>
      </c>
      <c r="F128" s="39" t="s">
        <v>93</v>
      </c>
      <c r="G128" s="46">
        <v>1</v>
      </c>
      <c r="H128" s="64">
        <v>384.8</v>
      </c>
      <c r="I128" s="64">
        <v>384.8</v>
      </c>
      <c r="J128" s="64">
        <v>6.15</v>
      </c>
      <c r="K128" s="64">
        <v>6.15</v>
      </c>
      <c r="L128" s="38"/>
      <c r="M128" s="80"/>
      <c r="N128" s="80"/>
      <c r="O128" s="80"/>
      <c r="P128" s="80"/>
      <c r="Q128" s="80"/>
    </row>
    <row r="129" s="76" customFormat="1" ht="24.95" customHeight="1" spans="1:17">
      <c r="A129" s="20">
        <v>123</v>
      </c>
      <c r="B129" s="38" t="s">
        <v>146</v>
      </c>
      <c r="C129" s="39" t="s">
        <v>221</v>
      </c>
      <c r="D129" s="39" t="s">
        <v>142</v>
      </c>
      <c r="E129" s="40">
        <v>2887</v>
      </c>
      <c r="F129" s="39" t="s">
        <v>93</v>
      </c>
      <c r="G129" s="46">
        <v>2</v>
      </c>
      <c r="H129" s="64">
        <v>259.4</v>
      </c>
      <c r="I129" s="64">
        <v>518.9</v>
      </c>
      <c r="J129" s="64">
        <v>5.41</v>
      </c>
      <c r="K129" s="64">
        <v>10.82</v>
      </c>
      <c r="L129" s="38"/>
      <c r="M129" s="80"/>
      <c r="N129" s="80"/>
      <c r="O129" s="80"/>
      <c r="P129" s="80"/>
      <c r="Q129" s="80"/>
    </row>
    <row r="130" s="76" customFormat="1" ht="24.95" customHeight="1" spans="1:17">
      <c r="A130" s="20">
        <v>124</v>
      </c>
      <c r="B130" s="38" t="s">
        <v>146</v>
      </c>
      <c r="C130" s="39" t="s">
        <v>222</v>
      </c>
      <c r="D130" s="39" t="s">
        <v>142</v>
      </c>
      <c r="E130" s="40">
        <v>2887</v>
      </c>
      <c r="F130" s="39" t="s">
        <v>93</v>
      </c>
      <c r="G130" s="46">
        <v>2</v>
      </c>
      <c r="H130" s="64">
        <v>259.4</v>
      </c>
      <c r="I130" s="64">
        <v>518.9</v>
      </c>
      <c r="J130" s="64">
        <v>5.41</v>
      </c>
      <c r="K130" s="64">
        <v>10.82</v>
      </c>
      <c r="L130" s="38"/>
      <c r="M130" s="80"/>
      <c r="N130" s="80"/>
      <c r="O130" s="80"/>
      <c r="P130" s="80"/>
      <c r="Q130" s="80"/>
    </row>
    <row r="131" s="76" customFormat="1" ht="24.95" customHeight="1" spans="1:17">
      <c r="A131" s="20">
        <v>125</v>
      </c>
      <c r="B131" s="38" t="s">
        <v>146</v>
      </c>
      <c r="C131" s="39" t="s">
        <v>223</v>
      </c>
      <c r="D131" s="39" t="s">
        <v>142</v>
      </c>
      <c r="E131" s="40">
        <v>1301</v>
      </c>
      <c r="F131" s="39" t="s">
        <v>93</v>
      </c>
      <c r="G131" s="46">
        <v>10</v>
      </c>
      <c r="H131" s="64">
        <v>113.8</v>
      </c>
      <c r="I131" s="64">
        <v>1137.9</v>
      </c>
      <c r="J131" s="64">
        <v>2.37</v>
      </c>
      <c r="K131" s="64">
        <v>23.66</v>
      </c>
      <c r="L131" s="38"/>
      <c r="M131" s="80"/>
      <c r="N131" s="80"/>
      <c r="O131" s="80"/>
      <c r="P131" s="80"/>
      <c r="Q131" s="80"/>
    </row>
    <row r="132" s="76" customFormat="1" ht="24.95" customHeight="1" spans="1:17">
      <c r="A132" s="20">
        <v>126</v>
      </c>
      <c r="B132" s="38" t="s">
        <v>146</v>
      </c>
      <c r="C132" s="39" t="s">
        <v>224</v>
      </c>
      <c r="D132" s="39" t="s">
        <v>92</v>
      </c>
      <c r="E132" s="40">
        <v>1601</v>
      </c>
      <c r="F132" s="39" t="s">
        <v>93</v>
      </c>
      <c r="G132" s="46">
        <v>2</v>
      </c>
      <c r="H132" s="64">
        <v>254.9</v>
      </c>
      <c r="I132" s="64">
        <v>509.7</v>
      </c>
      <c r="J132" s="64">
        <v>3.96</v>
      </c>
      <c r="K132" s="64">
        <v>7.91</v>
      </c>
      <c r="L132" s="38"/>
      <c r="M132" s="80"/>
      <c r="N132" s="80"/>
      <c r="O132" s="80"/>
      <c r="P132" s="80"/>
      <c r="Q132" s="80"/>
    </row>
    <row r="133" s="76" customFormat="1" ht="24.95" customHeight="1" spans="1:17">
      <c r="A133" s="20">
        <v>127</v>
      </c>
      <c r="B133" s="38" t="s">
        <v>146</v>
      </c>
      <c r="C133" s="39" t="s">
        <v>225</v>
      </c>
      <c r="D133" s="39" t="s">
        <v>92</v>
      </c>
      <c r="E133" s="40">
        <v>2303.5</v>
      </c>
      <c r="F133" s="39" t="s">
        <v>93</v>
      </c>
      <c r="G133" s="46">
        <v>2</v>
      </c>
      <c r="H133" s="64">
        <v>368.1</v>
      </c>
      <c r="I133" s="64">
        <v>736.3</v>
      </c>
      <c r="J133" s="64">
        <v>5.69</v>
      </c>
      <c r="K133" s="64">
        <v>11.39</v>
      </c>
      <c r="L133" s="38"/>
      <c r="M133" s="80"/>
      <c r="N133" s="80"/>
      <c r="O133" s="80"/>
      <c r="P133" s="80"/>
      <c r="Q133" s="80"/>
    </row>
    <row r="134" s="76" customFormat="1" ht="24.95" customHeight="1" spans="1:17">
      <c r="A134" s="20">
        <v>128</v>
      </c>
      <c r="B134" s="38" t="s">
        <v>146</v>
      </c>
      <c r="C134" s="39" t="s">
        <v>226</v>
      </c>
      <c r="D134" s="39" t="s">
        <v>142</v>
      </c>
      <c r="E134" s="40">
        <v>2887</v>
      </c>
      <c r="F134" s="39" t="s">
        <v>93</v>
      </c>
      <c r="G134" s="46">
        <v>16</v>
      </c>
      <c r="H134" s="64">
        <v>249.5</v>
      </c>
      <c r="I134" s="64">
        <v>3991.3</v>
      </c>
      <c r="J134" s="64">
        <v>5.13</v>
      </c>
      <c r="K134" s="64">
        <v>82.08</v>
      </c>
      <c r="L134" s="38"/>
      <c r="M134" s="80"/>
      <c r="N134" s="80"/>
      <c r="O134" s="80"/>
      <c r="P134" s="80"/>
      <c r="Q134" s="80"/>
    </row>
    <row r="135" s="76" customFormat="1" ht="24.95" customHeight="1" spans="1:17">
      <c r="A135" s="20">
        <v>129</v>
      </c>
      <c r="B135" s="38" t="s">
        <v>146</v>
      </c>
      <c r="C135" s="39" t="s">
        <v>227</v>
      </c>
      <c r="D135" s="39" t="s">
        <v>117</v>
      </c>
      <c r="E135" s="40">
        <v>2837</v>
      </c>
      <c r="F135" s="39" t="s">
        <v>93</v>
      </c>
      <c r="G135" s="46">
        <v>1</v>
      </c>
      <c r="H135" s="64">
        <v>340.4</v>
      </c>
      <c r="I135" s="64">
        <v>340.4</v>
      </c>
      <c r="J135" s="64">
        <v>6.02</v>
      </c>
      <c r="K135" s="64">
        <v>6.02</v>
      </c>
      <c r="L135" s="38"/>
      <c r="M135" s="80"/>
      <c r="N135" s="80"/>
      <c r="O135" s="80"/>
      <c r="P135" s="80"/>
      <c r="Q135" s="80"/>
    </row>
    <row r="136" s="76" customFormat="1" ht="24.95" customHeight="1" spans="1:17">
      <c r="A136" s="20">
        <v>130</v>
      </c>
      <c r="B136" s="38" t="s">
        <v>146</v>
      </c>
      <c r="C136" s="39" t="s">
        <v>228</v>
      </c>
      <c r="D136" s="39" t="s">
        <v>92</v>
      </c>
      <c r="E136" s="40">
        <v>6196</v>
      </c>
      <c r="F136" s="39" t="s">
        <v>93</v>
      </c>
      <c r="G136" s="46">
        <v>1</v>
      </c>
      <c r="H136" s="64">
        <v>1001</v>
      </c>
      <c r="I136" s="64">
        <v>1001</v>
      </c>
      <c r="J136" s="64">
        <v>15.45</v>
      </c>
      <c r="K136" s="64">
        <v>15.45</v>
      </c>
      <c r="L136" s="38"/>
      <c r="M136" s="80"/>
      <c r="N136" s="80"/>
      <c r="O136" s="80"/>
      <c r="P136" s="80"/>
      <c r="Q136" s="80"/>
    </row>
    <row r="137" s="76" customFormat="1" ht="24.95" customHeight="1" spans="1:17">
      <c r="A137" s="20">
        <v>131</v>
      </c>
      <c r="B137" s="38" t="s">
        <v>146</v>
      </c>
      <c r="C137" s="39" t="s">
        <v>229</v>
      </c>
      <c r="D137" s="39" t="s">
        <v>117</v>
      </c>
      <c r="E137" s="40">
        <v>6196</v>
      </c>
      <c r="F137" s="39" t="s">
        <v>93</v>
      </c>
      <c r="G137" s="46">
        <v>1</v>
      </c>
      <c r="H137" s="64">
        <v>717.3</v>
      </c>
      <c r="I137" s="64">
        <v>717.3</v>
      </c>
      <c r="J137" s="64">
        <v>12.34</v>
      </c>
      <c r="K137" s="64">
        <v>12.34</v>
      </c>
      <c r="L137" s="38"/>
      <c r="M137" s="80"/>
      <c r="N137" s="80"/>
      <c r="O137" s="80"/>
      <c r="P137" s="80"/>
      <c r="Q137" s="80"/>
    </row>
    <row r="138" s="76" customFormat="1" ht="24.95" customHeight="1" spans="1:17">
      <c r="A138" s="20">
        <v>132</v>
      </c>
      <c r="B138" s="38" t="s">
        <v>146</v>
      </c>
      <c r="C138" s="39" t="s">
        <v>230</v>
      </c>
      <c r="D138" s="39" t="s">
        <v>117</v>
      </c>
      <c r="E138" s="40">
        <v>2887</v>
      </c>
      <c r="F138" s="39" t="s">
        <v>93</v>
      </c>
      <c r="G138" s="46">
        <v>1</v>
      </c>
      <c r="H138" s="64">
        <v>344.3</v>
      </c>
      <c r="I138" s="64">
        <v>344.3</v>
      </c>
      <c r="J138" s="64">
        <v>6.05</v>
      </c>
      <c r="K138" s="64">
        <v>6.05</v>
      </c>
      <c r="L138" s="38"/>
      <c r="M138" s="80"/>
      <c r="N138" s="80"/>
      <c r="O138" s="80"/>
      <c r="P138" s="80"/>
      <c r="Q138" s="80"/>
    </row>
    <row r="139" s="76" customFormat="1" ht="24.95" customHeight="1" spans="1:17">
      <c r="A139" s="20">
        <v>133</v>
      </c>
      <c r="B139" s="38" t="s">
        <v>146</v>
      </c>
      <c r="C139" s="39" t="s">
        <v>231</v>
      </c>
      <c r="D139" s="39" t="s">
        <v>92</v>
      </c>
      <c r="E139" s="40">
        <v>2887</v>
      </c>
      <c r="F139" s="39" t="s">
        <v>93</v>
      </c>
      <c r="G139" s="46">
        <v>1</v>
      </c>
      <c r="H139" s="64">
        <v>480.8</v>
      </c>
      <c r="I139" s="64">
        <v>480.8</v>
      </c>
      <c r="J139" s="64">
        <v>7.63</v>
      </c>
      <c r="K139" s="64">
        <v>7.63</v>
      </c>
      <c r="L139" s="38"/>
      <c r="M139" s="80"/>
      <c r="N139" s="80"/>
      <c r="O139" s="80"/>
      <c r="P139" s="80"/>
      <c r="Q139" s="80"/>
    </row>
    <row r="140" s="76" customFormat="1" ht="24.95" customHeight="1" spans="1:17">
      <c r="A140" s="20">
        <v>134</v>
      </c>
      <c r="B140" s="38" t="s">
        <v>146</v>
      </c>
      <c r="C140" s="39" t="s">
        <v>232</v>
      </c>
      <c r="D140" s="39" t="s">
        <v>117</v>
      </c>
      <c r="E140" s="40">
        <v>1305.5</v>
      </c>
      <c r="F140" s="39" t="s">
        <v>93</v>
      </c>
      <c r="G140" s="46">
        <v>1</v>
      </c>
      <c r="H140" s="64">
        <v>151.2</v>
      </c>
      <c r="I140" s="64">
        <v>151.2</v>
      </c>
      <c r="J140" s="64">
        <v>2.64</v>
      </c>
      <c r="K140" s="64">
        <v>2.64</v>
      </c>
      <c r="L140" s="38"/>
      <c r="M140" s="80"/>
      <c r="N140" s="80"/>
      <c r="O140" s="80"/>
      <c r="P140" s="80"/>
      <c r="Q140" s="80"/>
    </row>
    <row r="141" s="76" customFormat="1" ht="24.95" customHeight="1" spans="1:17">
      <c r="A141" s="20">
        <v>135</v>
      </c>
      <c r="B141" s="38" t="s">
        <v>146</v>
      </c>
      <c r="C141" s="39" t="s">
        <v>233</v>
      </c>
      <c r="D141" s="39" t="s">
        <v>92</v>
      </c>
      <c r="E141" s="40">
        <v>2290</v>
      </c>
      <c r="F141" s="39" t="s">
        <v>93</v>
      </c>
      <c r="G141" s="46">
        <v>1</v>
      </c>
      <c r="H141" s="64">
        <v>368.8</v>
      </c>
      <c r="I141" s="64">
        <v>368.8</v>
      </c>
      <c r="J141" s="64">
        <v>5.72</v>
      </c>
      <c r="K141" s="64">
        <v>5.72</v>
      </c>
      <c r="L141" s="38"/>
      <c r="M141" s="80"/>
      <c r="N141" s="80"/>
      <c r="O141" s="80"/>
      <c r="P141" s="80"/>
      <c r="Q141" s="80"/>
    </row>
    <row r="142" s="76" customFormat="1" ht="24.95" customHeight="1" spans="1:17">
      <c r="A142" s="20">
        <v>136</v>
      </c>
      <c r="B142" s="38" t="s">
        <v>146</v>
      </c>
      <c r="C142" s="39" t="s">
        <v>234</v>
      </c>
      <c r="D142" s="39" t="s">
        <v>92</v>
      </c>
      <c r="E142" s="40">
        <v>2263.5</v>
      </c>
      <c r="F142" s="39" t="s">
        <v>93</v>
      </c>
      <c r="G142" s="46">
        <v>1</v>
      </c>
      <c r="H142" s="64">
        <v>348.9</v>
      </c>
      <c r="I142" s="64">
        <v>348.9</v>
      </c>
      <c r="J142" s="64">
        <v>5.44</v>
      </c>
      <c r="K142" s="64">
        <v>5.44</v>
      </c>
      <c r="L142" s="38"/>
      <c r="M142" s="80"/>
      <c r="N142" s="80"/>
      <c r="O142" s="80"/>
      <c r="P142" s="80"/>
      <c r="Q142" s="80"/>
    </row>
    <row r="143" s="76" customFormat="1" ht="24.95" customHeight="1" spans="1:17">
      <c r="A143" s="20">
        <v>137</v>
      </c>
      <c r="B143" s="38" t="s">
        <v>146</v>
      </c>
      <c r="C143" s="39" t="s">
        <v>235</v>
      </c>
      <c r="D143" s="39" t="s">
        <v>117</v>
      </c>
      <c r="E143" s="40">
        <v>2375</v>
      </c>
      <c r="F143" s="39" t="s">
        <v>93</v>
      </c>
      <c r="G143" s="46">
        <v>1</v>
      </c>
      <c r="H143" s="64">
        <v>268.1</v>
      </c>
      <c r="I143" s="64">
        <v>268.1</v>
      </c>
      <c r="J143" s="64">
        <v>4.65</v>
      </c>
      <c r="K143" s="64">
        <v>4.65</v>
      </c>
      <c r="L143" s="38"/>
      <c r="M143" s="80"/>
      <c r="N143" s="80"/>
      <c r="O143" s="80"/>
      <c r="P143" s="80"/>
      <c r="Q143" s="80"/>
    </row>
    <row r="144" s="76" customFormat="1" ht="24.95" customHeight="1" spans="1:17">
      <c r="A144" s="20">
        <v>138</v>
      </c>
      <c r="B144" s="38" t="s">
        <v>146</v>
      </c>
      <c r="C144" s="39" t="s">
        <v>236</v>
      </c>
      <c r="D144" s="39" t="s">
        <v>92</v>
      </c>
      <c r="E144" s="40">
        <v>1565.5</v>
      </c>
      <c r="F144" s="39" t="s">
        <v>93</v>
      </c>
      <c r="G144" s="46">
        <v>1</v>
      </c>
      <c r="H144" s="64">
        <v>236.4</v>
      </c>
      <c r="I144" s="64">
        <v>236.4</v>
      </c>
      <c r="J144" s="64">
        <v>3.72</v>
      </c>
      <c r="K144" s="64">
        <v>3.72</v>
      </c>
      <c r="L144" s="38"/>
      <c r="M144" s="80"/>
      <c r="N144" s="80"/>
      <c r="O144" s="80"/>
      <c r="P144" s="80"/>
      <c r="Q144" s="80"/>
    </row>
    <row r="145" s="76" customFormat="1" ht="24.95" customHeight="1" spans="1:17">
      <c r="A145" s="20">
        <v>139</v>
      </c>
      <c r="B145" s="38" t="s">
        <v>146</v>
      </c>
      <c r="C145" s="39" t="s">
        <v>237</v>
      </c>
      <c r="D145" s="39" t="s">
        <v>109</v>
      </c>
      <c r="E145" s="40">
        <v>1301</v>
      </c>
      <c r="F145" s="39" t="s">
        <v>93</v>
      </c>
      <c r="G145" s="46">
        <v>10</v>
      </c>
      <c r="H145" s="64">
        <v>64.4</v>
      </c>
      <c r="I145" s="64">
        <v>643.6</v>
      </c>
      <c r="J145" s="64">
        <v>1.59</v>
      </c>
      <c r="K145" s="64">
        <v>15.89</v>
      </c>
      <c r="L145" s="38"/>
      <c r="M145" s="80"/>
      <c r="N145" s="80"/>
      <c r="O145" s="80"/>
      <c r="P145" s="80"/>
      <c r="Q145" s="80"/>
    </row>
    <row r="146" s="76" customFormat="1" ht="24.95" customHeight="1" spans="1:17">
      <c r="A146" s="20">
        <v>140</v>
      </c>
      <c r="B146" s="38" t="s">
        <v>146</v>
      </c>
      <c r="C146" s="39" t="s">
        <v>238</v>
      </c>
      <c r="D146" s="39" t="s">
        <v>109</v>
      </c>
      <c r="E146" s="40">
        <v>2797</v>
      </c>
      <c r="F146" s="39" t="s">
        <v>93</v>
      </c>
      <c r="G146" s="46">
        <v>10</v>
      </c>
      <c r="H146" s="64">
        <v>148.9</v>
      </c>
      <c r="I146" s="64">
        <v>1488.8</v>
      </c>
      <c r="J146" s="64">
        <v>3.83</v>
      </c>
      <c r="K146" s="64">
        <v>38.34</v>
      </c>
      <c r="L146" s="38"/>
      <c r="M146" s="80"/>
      <c r="N146" s="80"/>
      <c r="O146" s="80"/>
      <c r="P146" s="80"/>
      <c r="Q146" s="80"/>
    </row>
    <row r="147" s="76" customFormat="1" ht="24.95" customHeight="1" spans="1:17">
      <c r="A147" s="20">
        <v>141</v>
      </c>
      <c r="B147" s="38" t="s">
        <v>146</v>
      </c>
      <c r="C147" s="39" t="s">
        <v>239</v>
      </c>
      <c r="D147" s="39" t="s">
        <v>109</v>
      </c>
      <c r="E147" s="40">
        <v>2797</v>
      </c>
      <c r="F147" s="39" t="s">
        <v>93</v>
      </c>
      <c r="G147" s="46">
        <v>10</v>
      </c>
      <c r="H147" s="64">
        <v>148.9</v>
      </c>
      <c r="I147" s="64">
        <v>1488.8</v>
      </c>
      <c r="J147" s="64">
        <v>3.83</v>
      </c>
      <c r="K147" s="64">
        <v>38.34</v>
      </c>
      <c r="L147" s="38"/>
      <c r="M147" s="80"/>
      <c r="N147" s="80"/>
      <c r="O147" s="80"/>
      <c r="P147" s="80"/>
      <c r="Q147" s="80"/>
    </row>
    <row r="148" s="76" customFormat="1" ht="24.95" customHeight="1" spans="1:17">
      <c r="A148" s="20">
        <v>142</v>
      </c>
      <c r="B148" s="38" t="s">
        <v>146</v>
      </c>
      <c r="C148" s="39" t="s">
        <v>240</v>
      </c>
      <c r="D148" s="39" t="s">
        <v>241</v>
      </c>
      <c r="E148" s="40">
        <v>8998</v>
      </c>
      <c r="F148" s="39" t="s">
        <v>93</v>
      </c>
      <c r="G148" s="46">
        <v>15</v>
      </c>
      <c r="H148" s="64">
        <v>1793</v>
      </c>
      <c r="I148" s="64">
        <v>26894.9</v>
      </c>
      <c r="J148" s="64">
        <v>25.46</v>
      </c>
      <c r="K148" s="64">
        <v>381.85</v>
      </c>
      <c r="L148" s="38"/>
      <c r="M148" s="80"/>
      <c r="N148" s="80"/>
      <c r="O148" s="80"/>
      <c r="P148" s="80"/>
      <c r="Q148" s="80"/>
    </row>
    <row r="149" s="76" customFormat="1" ht="24.95" customHeight="1" spans="1:17">
      <c r="A149" s="20">
        <v>143</v>
      </c>
      <c r="B149" s="38" t="s">
        <v>146</v>
      </c>
      <c r="C149" s="39" t="s">
        <v>242</v>
      </c>
      <c r="D149" s="39" t="s">
        <v>241</v>
      </c>
      <c r="E149" s="40">
        <v>6416</v>
      </c>
      <c r="F149" s="39" t="s">
        <v>93</v>
      </c>
      <c r="G149" s="46">
        <v>16</v>
      </c>
      <c r="H149" s="64">
        <v>1245.1</v>
      </c>
      <c r="I149" s="64">
        <v>19922.2</v>
      </c>
      <c r="J149" s="64">
        <v>17.95</v>
      </c>
      <c r="K149" s="64">
        <v>287.21</v>
      </c>
      <c r="L149" s="38"/>
      <c r="M149" s="80"/>
      <c r="N149" s="80"/>
      <c r="O149" s="80"/>
      <c r="P149" s="80"/>
      <c r="Q149" s="80"/>
    </row>
    <row r="150" s="76" customFormat="1" ht="24.95" customHeight="1" spans="1:17">
      <c r="A150" s="20">
        <v>144</v>
      </c>
      <c r="B150" s="38" t="s">
        <v>146</v>
      </c>
      <c r="C150" s="39" t="s">
        <v>243</v>
      </c>
      <c r="D150" s="39" t="s">
        <v>109</v>
      </c>
      <c r="E150" s="40">
        <v>1519</v>
      </c>
      <c r="F150" s="39" t="s">
        <v>93</v>
      </c>
      <c r="G150" s="46">
        <v>2</v>
      </c>
      <c r="H150" s="64">
        <v>74</v>
      </c>
      <c r="I150" s="64">
        <v>148.1</v>
      </c>
      <c r="J150" s="64">
        <v>1.81</v>
      </c>
      <c r="K150" s="64">
        <v>3.62</v>
      </c>
      <c r="L150" s="38"/>
      <c r="M150" s="80"/>
      <c r="N150" s="80"/>
      <c r="O150" s="80"/>
      <c r="P150" s="80"/>
      <c r="Q150" s="80"/>
    </row>
    <row r="151" s="76" customFormat="1" ht="24.95" customHeight="1" spans="1:17">
      <c r="A151" s="20">
        <v>145</v>
      </c>
      <c r="B151" s="38" t="s">
        <v>146</v>
      </c>
      <c r="C151" s="39" t="s">
        <v>244</v>
      </c>
      <c r="D151" s="39" t="s">
        <v>241</v>
      </c>
      <c r="E151" s="40">
        <v>8998</v>
      </c>
      <c r="F151" s="39" t="s">
        <v>93</v>
      </c>
      <c r="G151" s="46">
        <v>1</v>
      </c>
      <c r="H151" s="64">
        <v>1793</v>
      </c>
      <c r="I151" s="64">
        <v>1793</v>
      </c>
      <c r="J151" s="64">
        <v>25.46</v>
      </c>
      <c r="K151" s="64">
        <v>25.46</v>
      </c>
      <c r="L151" s="38"/>
      <c r="M151" s="80"/>
      <c r="N151" s="80"/>
      <c r="O151" s="80"/>
      <c r="P151" s="80"/>
      <c r="Q151" s="80"/>
    </row>
    <row r="152" s="76" customFormat="1" ht="24.95" customHeight="1" spans="1:17">
      <c r="A152" s="20">
        <v>146</v>
      </c>
      <c r="B152" s="38" t="s">
        <v>146</v>
      </c>
      <c r="C152" s="39" t="s">
        <v>245</v>
      </c>
      <c r="D152" s="39" t="s">
        <v>109</v>
      </c>
      <c r="E152" s="40">
        <v>2575</v>
      </c>
      <c r="F152" s="39" t="s">
        <v>93</v>
      </c>
      <c r="G152" s="46">
        <v>2</v>
      </c>
      <c r="H152" s="64">
        <v>125.5</v>
      </c>
      <c r="I152" s="64">
        <v>251</v>
      </c>
      <c r="J152" s="64">
        <v>3.06</v>
      </c>
      <c r="K152" s="64">
        <v>6.12</v>
      </c>
      <c r="L152" s="38"/>
      <c r="M152" s="80"/>
      <c r="N152" s="80"/>
      <c r="O152" s="80"/>
      <c r="P152" s="80"/>
      <c r="Q152" s="80"/>
    </row>
    <row r="153" s="76" customFormat="1" ht="24.95" customHeight="1" spans="1:17">
      <c r="A153" s="20">
        <v>147</v>
      </c>
      <c r="B153" s="38" t="s">
        <v>146</v>
      </c>
      <c r="C153" s="39" t="s">
        <v>246</v>
      </c>
      <c r="D153" s="39" t="s">
        <v>109</v>
      </c>
      <c r="E153" s="40">
        <v>1519</v>
      </c>
      <c r="F153" s="39" t="s">
        <v>93</v>
      </c>
      <c r="G153" s="46">
        <v>10</v>
      </c>
      <c r="H153" s="64">
        <v>74</v>
      </c>
      <c r="I153" s="64">
        <v>740.3</v>
      </c>
      <c r="J153" s="64">
        <v>1.81</v>
      </c>
      <c r="K153" s="64">
        <v>18.11</v>
      </c>
      <c r="L153" s="38"/>
      <c r="M153" s="80"/>
      <c r="N153" s="80"/>
      <c r="O153" s="80"/>
      <c r="P153" s="80"/>
      <c r="Q153" s="80"/>
    </row>
    <row r="154" s="76" customFormat="1" ht="24.95" customHeight="1" spans="1:17">
      <c r="A154" s="20">
        <v>148</v>
      </c>
      <c r="B154" s="38" t="s">
        <v>146</v>
      </c>
      <c r="C154" s="39" t="s">
        <v>247</v>
      </c>
      <c r="D154" s="39" t="s">
        <v>109</v>
      </c>
      <c r="E154" s="40">
        <v>2375</v>
      </c>
      <c r="F154" s="39" t="s">
        <v>93</v>
      </c>
      <c r="G154" s="46">
        <v>2</v>
      </c>
      <c r="H154" s="64">
        <v>115.7</v>
      </c>
      <c r="I154" s="64">
        <v>231.5</v>
      </c>
      <c r="J154" s="64">
        <v>2.82</v>
      </c>
      <c r="K154" s="64">
        <v>5.65</v>
      </c>
      <c r="L154" s="38"/>
      <c r="M154" s="80"/>
      <c r="N154" s="80"/>
      <c r="O154" s="80"/>
      <c r="P154" s="80"/>
      <c r="Q154" s="80"/>
    </row>
    <row r="155" s="76" customFormat="1" ht="24.95" customHeight="1" spans="1:17">
      <c r="A155" s="20">
        <v>149</v>
      </c>
      <c r="B155" s="38" t="s">
        <v>146</v>
      </c>
      <c r="C155" s="39" t="s">
        <v>248</v>
      </c>
      <c r="D155" s="39" t="s">
        <v>104</v>
      </c>
      <c r="E155" s="40">
        <v>2508</v>
      </c>
      <c r="F155" s="39" t="s">
        <v>93</v>
      </c>
      <c r="G155" s="46">
        <v>2</v>
      </c>
      <c r="H155" s="64">
        <v>123.9</v>
      </c>
      <c r="I155" s="64">
        <v>247.8</v>
      </c>
      <c r="J155" s="64">
        <v>3.52</v>
      </c>
      <c r="K155" s="64">
        <v>7.05</v>
      </c>
      <c r="L155" s="38"/>
      <c r="M155" s="80"/>
      <c r="N155" s="80"/>
      <c r="O155" s="80"/>
      <c r="P155" s="80"/>
      <c r="Q155" s="80"/>
    </row>
    <row r="156" s="76" customFormat="1" ht="24.95" customHeight="1" spans="1:17">
      <c r="A156" s="20">
        <v>150</v>
      </c>
      <c r="B156" s="38" t="s">
        <v>146</v>
      </c>
      <c r="C156" s="39" t="s">
        <v>249</v>
      </c>
      <c r="D156" s="39" t="s">
        <v>109</v>
      </c>
      <c r="E156" s="40">
        <v>1519</v>
      </c>
      <c r="F156" s="39" t="s">
        <v>93</v>
      </c>
      <c r="G156" s="46">
        <v>2</v>
      </c>
      <c r="H156" s="64">
        <v>74</v>
      </c>
      <c r="I156" s="64">
        <v>148.1</v>
      </c>
      <c r="J156" s="64">
        <v>1.81</v>
      </c>
      <c r="K156" s="64">
        <v>3.62</v>
      </c>
      <c r="L156" s="38"/>
      <c r="M156" s="80"/>
      <c r="N156" s="80"/>
      <c r="O156" s="80"/>
      <c r="P156" s="80"/>
      <c r="Q156" s="80"/>
    </row>
    <row r="157" s="76" customFormat="1" ht="24.95" customHeight="1" spans="1:17">
      <c r="A157" s="20">
        <v>151</v>
      </c>
      <c r="B157" s="38" t="s">
        <v>146</v>
      </c>
      <c r="C157" s="39" t="s">
        <v>250</v>
      </c>
      <c r="D157" s="39" t="s">
        <v>251</v>
      </c>
      <c r="E157" s="40">
        <v>1522.5</v>
      </c>
      <c r="F157" s="39" t="s">
        <v>93</v>
      </c>
      <c r="G157" s="46">
        <v>10</v>
      </c>
      <c r="H157" s="64">
        <v>68.7</v>
      </c>
      <c r="I157" s="64">
        <v>687.2</v>
      </c>
      <c r="J157" s="64">
        <v>2.16</v>
      </c>
      <c r="K157" s="64">
        <v>21.56</v>
      </c>
      <c r="L157" s="38"/>
      <c r="M157" s="80"/>
      <c r="N157" s="80"/>
      <c r="O157" s="80"/>
      <c r="P157" s="80"/>
      <c r="Q157" s="80"/>
    </row>
    <row r="158" s="76" customFormat="1" ht="24.95" customHeight="1" spans="1:17">
      <c r="A158" s="20">
        <v>152</v>
      </c>
      <c r="B158" s="38" t="s">
        <v>146</v>
      </c>
      <c r="C158" s="39" t="s">
        <v>252</v>
      </c>
      <c r="D158" s="39" t="s">
        <v>251</v>
      </c>
      <c r="E158" s="40">
        <v>2845</v>
      </c>
      <c r="F158" s="39" t="s">
        <v>93</v>
      </c>
      <c r="G158" s="46">
        <v>4</v>
      </c>
      <c r="H158" s="64">
        <v>127.7</v>
      </c>
      <c r="I158" s="64">
        <v>510.8</v>
      </c>
      <c r="J158" s="64">
        <v>3.99</v>
      </c>
      <c r="K158" s="64">
        <v>15.97</v>
      </c>
      <c r="L158" s="38"/>
      <c r="M158" s="80"/>
      <c r="N158" s="80"/>
      <c r="O158" s="80"/>
      <c r="P158" s="80"/>
      <c r="Q158" s="80"/>
    </row>
    <row r="159" s="76" customFormat="1" ht="24.95" customHeight="1" spans="1:17">
      <c r="A159" s="20">
        <v>153</v>
      </c>
      <c r="B159" s="38" t="s">
        <v>146</v>
      </c>
      <c r="C159" s="39" t="s">
        <v>253</v>
      </c>
      <c r="D159" s="39" t="s">
        <v>251</v>
      </c>
      <c r="E159" s="40">
        <v>6194</v>
      </c>
      <c r="F159" s="39" t="s">
        <v>93</v>
      </c>
      <c r="G159" s="46">
        <v>1</v>
      </c>
      <c r="H159" s="64">
        <v>291.4</v>
      </c>
      <c r="I159" s="64">
        <v>291.4</v>
      </c>
      <c r="J159" s="64">
        <v>9.04</v>
      </c>
      <c r="K159" s="64">
        <v>9.04</v>
      </c>
      <c r="L159" s="38"/>
      <c r="M159" s="80"/>
      <c r="N159" s="80"/>
      <c r="O159" s="80"/>
      <c r="P159" s="80"/>
      <c r="Q159" s="80"/>
    </row>
    <row r="160" s="76" customFormat="1" ht="24.95" customHeight="1" spans="1:17">
      <c r="A160" s="20">
        <v>154</v>
      </c>
      <c r="B160" s="38" t="s">
        <v>146</v>
      </c>
      <c r="C160" s="39" t="s">
        <v>254</v>
      </c>
      <c r="D160" s="39" t="s">
        <v>251</v>
      </c>
      <c r="E160" s="40">
        <v>6194</v>
      </c>
      <c r="F160" s="39" t="s">
        <v>93</v>
      </c>
      <c r="G160" s="46">
        <v>1</v>
      </c>
      <c r="H160" s="64">
        <v>278</v>
      </c>
      <c r="I160" s="64">
        <v>278</v>
      </c>
      <c r="J160" s="64">
        <v>8.68</v>
      </c>
      <c r="K160" s="64">
        <v>8.68</v>
      </c>
      <c r="L160" s="38"/>
      <c r="M160" s="80"/>
      <c r="N160" s="80"/>
      <c r="O160" s="80"/>
      <c r="P160" s="80"/>
      <c r="Q160" s="80"/>
    </row>
    <row r="161" s="76" customFormat="1" ht="24.95" customHeight="1" spans="1:17">
      <c r="A161" s="20">
        <v>155</v>
      </c>
      <c r="B161" s="38" t="s">
        <v>146</v>
      </c>
      <c r="C161" s="39" t="s">
        <v>255</v>
      </c>
      <c r="D161" s="39" t="s">
        <v>251</v>
      </c>
      <c r="E161" s="40">
        <v>6194</v>
      </c>
      <c r="F161" s="39" t="s">
        <v>93</v>
      </c>
      <c r="G161" s="46">
        <v>3</v>
      </c>
      <c r="H161" s="64">
        <v>278</v>
      </c>
      <c r="I161" s="64">
        <v>833.9</v>
      </c>
      <c r="J161" s="64">
        <v>8.68</v>
      </c>
      <c r="K161" s="64">
        <v>26.03</v>
      </c>
      <c r="L161" s="38"/>
      <c r="M161" s="80"/>
      <c r="N161" s="80"/>
      <c r="O161" s="80"/>
      <c r="P161" s="80"/>
      <c r="Q161" s="80"/>
    </row>
    <row r="162" s="76" customFormat="1" ht="24.95" customHeight="1" spans="1:17">
      <c r="A162" s="20">
        <v>156</v>
      </c>
      <c r="B162" s="38" t="s">
        <v>146</v>
      </c>
      <c r="C162" s="39" t="s">
        <v>256</v>
      </c>
      <c r="D162" s="39" t="s">
        <v>251</v>
      </c>
      <c r="E162" s="40">
        <v>2835</v>
      </c>
      <c r="F162" s="39" t="s">
        <v>93</v>
      </c>
      <c r="G162" s="46">
        <v>1</v>
      </c>
      <c r="H162" s="64">
        <v>128.2</v>
      </c>
      <c r="I162" s="64">
        <v>128.2</v>
      </c>
      <c r="J162" s="64">
        <v>4.01</v>
      </c>
      <c r="K162" s="64">
        <v>4.01</v>
      </c>
      <c r="L162" s="38"/>
      <c r="M162" s="80"/>
      <c r="N162" s="80"/>
      <c r="O162" s="80"/>
      <c r="P162" s="80"/>
      <c r="Q162" s="80"/>
    </row>
    <row r="163" s="76" customFormat="1" ht="24.95" customHeight="1" spans="1:17">
      <c r="A163" s="20">
        <v>157</v>
      </c>
      <c r="B163" s="38" t="s">
        <v>146</v>
      </c>
      <c r="C163" s="39" t="s">
        <v>257</v>
      </c>
      <c r="D163" s="39" t="s">
        <v>251</v>
      </c>
      <c r="E163" s="40">
        <v>2835</v>
      </c>
      <c r="F163" s="39" t="s">
        <v>93</v>
      </c>
      <c r="G163" s="46">
        <v>2</v>
      </c>
      <c r="H163" s="64">
        <v>128.2</v>
      </c>
      <c r="I163" s="64">
        <v>256.4</v>
      </c>
      <c r="J163" s="64">
        <v>4.01</v>
      </c>
      <c r="K163" s="64">
        <v>8.03</v>
      </c>
      <c r="L163" s="38"/>
      <c r="M163" s="80"/>
      <c r="N163" s="80"/>
      <c r="O163" s="80"/>
      <c r="P163" s="80"/>
      <c r="Q163" s="80"/>
    </row>
    <row r="164" s="76" customFormat="1" ht="24.95" customHeight="1" spans="1:17">
      <c r="A164" s="20">
        <v>158</v>
      </c>
      <c r="B164" s="38" t="s">
        <v>146</v>
      </c>
      <c r="C164" s="39" t="s">
        <v>258</v>
      </c>
      <c r="D164" s="39" t="s">
        <v>251</v>
      </c>
      <c r="E164" s="40">
        <v>2851</v>
      </c>
      <c r="F164" s="39" t="s">
        <v>93</v>
      </c>
      <c r="G164" s="46">
        <v>1</v>
      </c>
      <c r="H164" s="64">
        <v>128.5</v>
      </c>
      <c r="I164" s="64">
        <v>128.5</v>
      </c>
      <c r="J164" s="64">
        <v>4.02</v>
      </c>
      <c r="K164" s="64">
        <v>4.02</v>
      </c>
      <c r="L164" s="38"/>
      <c r="M164" s="80"/>
      <c r="N164" s="80"/>
      <c r="O164" s="80"/>
      <c r="P164" s="80"/>
      <c r="Q164" s="80"/>
    </row>
    <row r="165" s="76" customFormat="1" ht="24.95" customHeight="1" spans="1:17">
      <c r="A165" s="20">
        <v>159</v>
      </c>
      <c r="B165" s="38" t="s">
        <v>146</v>
      </c>
      <c r="C165" s="39" t="s">
        <v>259</v>
      </c>
      <c r="D165" s="39" t="s">
        <v>251</v>
      </c>
      <c r="E165" s="40">
        <v>2835</v>
      </c>
      <c r="F165" s="39" t="s">
        <v>93</v>
      </c>
      <c r="G165" s="46">
        <v>1</v>
      </c>
      <c r="H165" s="64">
        <v>131.5</v>
      </c>
      <c r="I165" s="64">
        <v>131.5</v>
      </c>
      <c r="J165" s="64">
        <v>4.1</v>
      </c>
      <c r="K165" s="64">
        <v>4.1</v>
      </c>
      <c r="L165" s="38"/>
      <c r="M165" s="80"/>
      <c r="N165" s="80"/>
      <c r="O165" s="80"/>
      <c r="P165" s="80"/>
      <c r="Q165" s="80"/>
    </row>
    <row r="166" s="76" customFormat="1" ht="24.95" customHeight="1" spans="1:17">
      <c r="A166" s="20">
        <v>160</v>
      </c>
      <c r="B166" s="38" t="s">
        <v>146</v>
      </c>
      <c r="C166" s="39" t="s">
        <v>260</v>
      </c>
      <c r="D166" s="39" t="s">
        <v>251</v>
      </c>
      <c r="E166" s="40">
        <v>2845</v>
      </c>
      <c r="F166" s="39" t="s">
        <v>93</v>
      </c>
      <c r="G166" s="46">
        <v>1</v>
      </c>
      <c r="H166" s="64">
        <v>131.9</v>
      </c>
      <c r="I166" s="64">
        <v>131.9</v>
      </c>
      <c r="J166" s="64">
        <v>4.11</v>
      </c>
      <c r="K166" s="64">
        <v>4.11</v>
      </c>
      <c r="L166" s="38"/>
      <c r="M166" s="80"/>
      <c r="N166" s="80"/>
      <c r="O166" s="80"/>
      <c r="P166" s="80"/>
      <c r="Q166" s="80"/>
    </row>
    <row r="167" s="76" customFormat="1" ht="24.95" customHeight="1" spans="1:17">
      <c r="A167" s="20">
        <v>161</v>
      </c>
      <c r="B167" s="38" t="s">
        <v>146</v>
      </c>
      <c r="C167" s="39" t="s">
        <v>261</v>
      </c>
      <c r="D167" s="39" t="s">
        <v>142</v>
      </c>
      <c r="E167" s="40">
        <v>2095</v>
      </c>
      <c r="F167" s="39" t="s">
        <v>93</v>
      </c>
      <c r="G167" s="46">
        <v>1</v>
      </c>
      <c r="H167" s="64">
        <v>203.5</v>
      </c>
      <c r="I167" s="64">
        <v>203.5</v>
      </c>
      <c r="J167" s="64">
        <v>4.27</v>
      </c>
      <c r="K167" s="64">
        <v>4.27</v>
      </c>
      <c r="L167" s="38"/>
      <c r="M167" s="80"/>
      <c r="N167" s="80"/>
      <c r="O167" s="80"/>
      <c r="P167" s="80"/>
      <c r="Q167" s="80"/>
    </row>
    <row r="168" s="76" customFormat="1" ht="24.95" customHeight="1" spans="1:17">
      <c r="A168" s="20">
        <v>162</v>
      </c>
      <c r="B168" s="38" t="s">
        <v>146</v>
      </c>
      <c r="C168" s="39" t="s">
        <v>262</v>
      </c>
      <c r="D168" s="39" t="s">
        <v>142</v>
      </c>
      <c r="E168" s="40">
        <v>2095</v>
      </c>
      <c r="F168" s="39" t="s">
        <v>93</v>
      </c>
      <c r="G168" s="46">
        <v>1</v>
      </c>
      <c r="H168" s="64">
        <v>203.5</v>
      </c>
      <c r="I168" s="64">
        <v>203.5</v>
      </c>
      <c r="J168" s="64">
        <v>4.27</v>
      </c>
      <c r="K168" s="64">
        <v>4.27</v>
      </c>
      <c r="L168" s="38"/>
      <c r="M168" s="80"/>
      <c r="N168" s="80"/>
      <c r="O168" s="80"/>
      <c r="P168" s="80"/>
      <c r="Q168" s="80"/>
    </row>
    <row r="169" s="76" customFormat="1" ht="24.95" customHeight="1" spans="1:17">
      <c r="A169" s="20">
        <v>163</v>
      </c>
      <c r="B169" s="38" t="s">
        <v>146</v>
      </c>
      <c r="C169" s="39" t="s">
        <v>263</v>
      </c>
      <c r="D169" s="39" t="s">
        <v>142</v>
      </c>
      <c r="E169" s="40">
        <v>2095</v>
      </c>
      <c r="F169" s="39" t="s">
        <v>93</v>
      </c>
      <c r="G169" s="46">
        <v>1</v>
      </c>
      <c r="H169" s="64">
        <v>200.9</v>
      </c>
      <c r="I169" s="64">
        <v>200.9</v>
      </c>
      <c r="J169" s="64">
        <v>4.21</v>
      </c>
      <c r="K169" s="64">
        <v>4.21</v>
      </c>
      <c r="L169" s="38"/>
      <c r="M169" s="80"/>
      <c r="N169" s="80"/>
      <c r="O169" s="80"/>
      <c r="P169" s="80"/>
      <c r="Q169" s="80"/>
    </row>
    <row r="170" s="76" customFormat="1" ht="24.95" customHeight="1" spans="1:17">
      <c r="A170" s="20">
        <v>164</v>
      </c>
      <c r="B170" s="38" t="s">
        <v>146</v>
      </c>
      <c r="C170" s="39" t="s">
        <v>264</v>
      </c>
      <c r="D170" s="39" t="s">
        <v>142</v>
      </c>
      <c r="E170" s="40">
        <v>2095</v>
      </c>
      <c r="F170" s="39" t="s">
        <v>93</v>
      </c>
      <c r="G170" s="46">
        <v>1</v>
      </c>
      <c r="H170" s="64">
        <v>200.9</v>
      </c>
      <c r="I170" s="64">
        <v>200.9</v>
      </c>
      <c r="J170" s="64">
        <v>4.21</v>
      </c>
      <c r="K170" s="64">
        <v>4.21</v>
      </c>
      <c r="L170" s="38"/>
      <c r="M170" s="80"/>
      <c r="N170" s="80"/>
      <c r="O170" s="80"/>
      <c r="P170" s="80"/>
      <c r="Q170" s="80"/>
    </row>
    <row r="171" s="76" customFormat="1" ht="24.95" customHeight="1" spans="1:17">
      <c r="A171" s="20">
        <v>165</v>
      </c>
      <c r="B171" s="38" t="s">
        <v>146</v>
      </c>
      <c r="C171" s="39" t="s">
        <v>265</v>
      </c>
      <c r="D171" s="39" t="s">
        <v>142</v>
      </c>
      <c r="E171" s="40">
        <v>2095</v>
      </c>
      <c r="F171" s="39" t="s">
        <v>93</v>
      </c>
      <c r="G171" s="46">
        <v>2</v>
      </c>
      <c r="H171" s="64">
        <v>200.9</v>
      </c>
      <c r="I171" s="64">
        <v>401.9</v>
      </c>
      <c r="J171" s="64">
        <v>4.21</v>
      </c>
      <c r="K171" s="64">
        <v>8.42</v>
      </c>
      <c r="L171" s="38"/>
      <c r="M171" s="80"/>
      <c r="N171" s="80"/>
      <c r="O171" s="80"/>
      <c r="P171" s="80"/>
      <c r="Q171" s="80"/>
    </row>
    <row r="172" s="76" customFormat="1" ht="24.95" customHeight="1" spans="1:17">
      <c r="A172" s="20">
        <v>166</v>
      </c>
      <c r="B172" s="38" t="s">
        <v>146</v>
      </c>
      <c r="C172" s="39" t="s">
        <v>266</v>
      </c>
      <c r="D172" s="39" t="s">
        <v>142</v>
      </c>
      <c r="E172" s="40">
        <v>2095</v>
      </c>
      <c r="F172" s="39" t="s">
        <v>93</v>
      </c>
      <c r="G172" s="46">
        <v>2</v>
      </c>
      <c r="H172" s="64">
        <v>200.9</v>
      </c>
      <c r="I172" s="64">
        <v>401.9</v>
      </c>
      <c r="J172" s="64">
        <v>4.21</v>
      </c>
      <c r="K172" s="64">
        <v>8.42</v>
      </c>
      <c r="L172" s="38"/>
      <c r="M172" s="80"/>
      <c r="N172" s="80"/>
      <c r="O172" s="80"/>
      <c r="P172" s="80"/>
      <c r="Q172" s="80"/>
    </row>
    <row r="173" s="76" customFormat="1" ht="24.95" customHeight="1" spans="1:17">
      <c r="A173" s="20">
        <v>167</v>
      </c>
      <c r="B173" s="38" t="s">
        <v>146</v>
      </c>
      <c r="C173" s="39" t="s">
        <v>267</v>
      </c>
      <c r="D173" s="39" t="s">
        <v>104</v>
      </c>
      <c r="E173" s="40">
        <v>2458</v>
      </c>
      <c r="F173" s="39" t="s">
        <v>93</v>
      </c>
      <c r="G173" s="46">
        <v>2</v>
      </c>
      <c r="H173" s="64">
        <v>121.5</v>
      </c>
      <c r="I173" s="64">
        <v>242.9</v>
      </c>
      <c r="J173" s="64">
        <v>3.46</v>
      </c>
      <c r="K173" s="64">
        <v>6.91</v>
      </c>
      <c r="L173" s="38"/>
      <c r="M173" s="80"/>
      <c r="N173" s="80"/>
      <c r="O173" s="80"/>
      <c r="P173" s="80"/>
      <c r="Q173" s="80"/>
    </row>
    <row r="174" s="76" customFormat="1" ht="24.95" customHeight="1" spans="1:17">
      <c r="A174" s="20">
        <v>168</v>
      </c>
      <c r="B174" s="38" t="s">
        <v>146</v>
      </c>
      <c r="C174" s="39" t="s">
        <v>268</v>
      </c>
      <c r="D174" s="39" t="s">
        <v>142</v>
      </c>
      <c r="E174" s="40">
        <v>2095</v>
      </c>
      <c r="F174" s="39" t="s">
        <v>93</v>
      </c>
      <c r="G174" s="46">
        <v>1</v>
      </c>
      <c r="H174" s="64">
        <v>203.5</v>
      </c>
      <c r="I174" s="64">
        <v>203.5</v>
      </c>
      <c r="J174" s="64">
        <v>4.27</v>
      </c>
      <c r="K174" s="64">
        <v>4.27</v>
      </c>
      <c r="L174" s="38"/>
      <c r="M174" s="80"/>
      <c r="N174" s="80"/>
      <c r="O174" s="80"/>
      <c r="P174" s="80"/>
      <c r="Q174" s="80"/>
    </row>
    <row r="175" s="76" customFormat="1" ht="24.95" customHeight="1" spans="1:17">
      <c r="A175" s="20">
        <v>169</v>
      </c>
      <c r="B175" s="38" t="s">
        <v>146</v>
      </c>
      <c r="C175" s="39" t="s">
        <v>269</v>
      </c>
      <c r="D175" s="39" t="s">
        <v>142</v>
      </c>
      <c r="E175" s="40">
        <v>2095</v>
      </c>
      <c r="F175" s="39" t="s">
        <v>93</v>
      </c>
      <c r="G175" s="46">
        <v>1</v>
      </c>
      <c r="H175" s="64">
        <v>200.9</v>
      </c>
      <c r="I175" s="64">
        <v>200.9</v>
      </c>
      <c r="J175" s="64">
        <v>4.21</v>
      </c>
      <c r="K175" s="64">
        <v>4.21</v>
      </c>
      <c r="L175" s="38"/>
      <c r="M175" s="80"/>
      <c r="N175" s="80"/>
      <c r="O175" s="80"/>
      <c r="P175" s="80"/>
      <c r="Q175" s="80"/>
    </row>
    <row r="176" s="76" customFormat="1" ht="24.95" customHeight="1" spans="1:17">
      <c r="A176" s="20">
        <v>170</v>
      </c>
      <c r="B176" s="38" t="s">
        <v>146</v>
      </c>
      <c r="C176" s="39" t="s">
        <v>270</v>
      </c>
      <c r="D176" s="39" t="s">
        <v>142</v>
      </c>
      <c r="E176" s="40">
        <v>2095</v>
      </c>
      <c r="F176" s="39" t="s">
        <v>93</v>
      </c>
      <c r="G176" s="46">
        <v>1</v>
      </c>
      <c r="H176" s="64">
        <v>200.9</v>
      </c>
      <c r="I176" s="64">
        <v>200.9</v>
      </c>
      <c r="J176" s="64">
        <v>4.21</v>
      </c>
      <c r="K176" s="64">
        <v>4.21</v>
      </c>
      <c r="L176" s="38"/>
      <c r="M176" s="80"/>
      <c r="N176" s="80"/>
      <c r="O176" s="80"/>
      <c r="P176" s="80"/>
      <c r="Q176" s="80"/>
    </row>
    <row r="177" s="76" customFormat="1" ht="24.95" customHeight="1" spans="1:17">
      <c r="A177" s="20">
        <v>171</v>
      </c>
      <c r="B177" s="38" t="s">
        <v>271</v>
      </c>
      <c r="C177" s="39" t="s">
        <v>272</v>
      </c>
      <c r="D177" s="39" t="s">
        <v>273</v>
      </c>
      <c r="E177" s="40">
        <v>11350</v>
      </c>
      <c r="F177" s="39" t="s">
        <v>93</v>
      </c>
      <c r="G177" s="46">
        <v>1</v>
      </c>
      <c r="H177" s="64">
        <v>3800.2</v>
      </c>
      <c r="I177" s="64">
        <v>3800.2</v>
      </c>
      <c r="J177" s="64">
        <v>51.16</v>
      </c>
      <c r="K177" s="64">
        <v>51.16</v>
      </c>
      <c r="L177" s="38"/>
      <c r="M177" s="80"/>
      <c r="N177" s="80"/>
      <c r="O177" s="80"/>
      <c r="P177" s="80"/>
      <c r="Q177" s="80"/>
    </row>
    <row r="178" s="76" customFormat="1" ht="24.95" customHeight="1" spans="1:17">
      <c r="A178" s="20">
        <v>172</v>
      </c>
      <c r="B178" s="38" t="s">
        <v>271</v>
      </c>
      <c r="C178" s="39" t="s">
        <v>274</v>
      </c>
      <c r="D178" s="39" t="s">
        <v>273</v>
      </c>
      <c r="E178" s="40">
        <v>11350</v>
      </c>
      <c r="F178" s="39" t="s">
        <v>93</v>
      </c>
      <c r="G178" s="46">
        <v>1</v>
      </c>
      <c r="H178" s="64">
        <v>3800.2</v>
      </c>
      <c r="I178" s="64">
        <v>3800.2</v>
      </c>
      <c r="J178" s="64">
        <v>51.16</v>
      </c>
      <c r="K178" s="64">
        <v>51.16</v>
      </c>
      <c r="L178" s="38"/>
      <c r="M178" s="80"/>
      <c r="N178" s="80"/>
      <c r="O178" s="80"/>
      <c r="P178" s="80"/>
      <c r="Q178" s="80"/>
    </row>
    <row r="179" s="76" customFormat="1" ht="24.95" customHeight="1" spans="1:17">
      <c r="A179" s="20">
        <v>173</v>
      </c>
      <c r="B179" s="38" t="s">
        <v>271</v>
      </c>
      <c r="C179" s="39" t="s">
        <v>275</v>
      </c>
      <c r="D179" s="39" t="s">
        <v>273</v>
      </c>
      <c r="E179" s="40">
        <v>11350</v>
      </c>
      <c r="F179" s="39" t="s">
        <v>93</v>
      </c>
      <c r="G179" s="46">
        <v>1</v>
      </c>
      <c r="H179" s="64">
        <v>3279.2</v>
      </c>
      <c r="I179" s="64">
        <v>3279.2</v>
      </c>
      <c r="J179" s="64">
        <v>40.77</v>
      </c>
      <c r="K179" s="64">
        <v>40.77</v>
      </c>
      <c r="L179" s="38"/>
      <c r="M179" s="80"/>
      <c r="N179" s="80"/>
      <c r="O179" s="80"/>
      <c r="P179" s="80"/>
      <c r="Q179" s="80"/>
    </row>
    <row r="180" s="76" customFormat="1" ht="24.95" customHeight="1" spans="1:17">
      <c r="A180" s="20">
        <v>174</v>
      </c>
      <c r="B180" s="38" t="s">
        <v>271</v>
      </c>
      <c r="C180" s="39" t="s">
        <v>276</v>
      </c>
      <c r="D180" s="39" t="s">
        <v>273</v>
      </c>
      <c r="E180" s="40">
        <v>11350</v>
      </c>
      <c r="F180" s="39" t="s">
        <v>93</v>
      </c>
      <c r="G180" s="46">
        <v>1</v>
      </c>
      <c r="H180" s="64">
        <v>3279.2</v>
      </c>
      <c r="I180" s="64">
        <v>3279.2</v>
      </c>
      <c r="J180" s="64">
        <v>40.77</v>
      </c>
      <c r="K180" s="64">
        <v>40.77</v>
      </c>
      <c r="L180" s="38"/>
      <c r="M180" s="80"/>
      <c r="N180" s="80"/>
      <c r="O180" s="80"/>
      <c r="P180" s="80"/>
      <c r="Q180" s="80"/>
    </row>
    <row r="181" s="76" customFormat="1" ht="24.95" customHeight="1" spans="1:17">
      <c r="A181" s="20">
        <v>175</v>
      </c>
      <c r="B181" s="38" t="s">
        <v>271</v>
      </c>
      <c r="C181" s="39" t="s">
        <v>277</v>
      </c>
      <c r="D181" s="39" t="s">
        <v>273</v>
      </c>
      <c r="E181" s="40">
        <v>10055</v>
      </c>
      <c r="F181" s="39" t="s">
        <v>93</v>
      </c>
      <c r="G181" s="46">
        <v>16</v>
      </c>
      <c r="H181" s="64">
        <v>2985.4</v>
      </c>
      <c r="I181" s="64">
        <v>47766.9</v>
      </c>
      <c r="J181" s="64">
        <v>37.82</v>
      </c>
      <c r="K181" s="64">
        <v>605.19</v>
      </c>
      <c r="L181" s="38"/>
      <c r="M181" s="80"/>
      <c r="N181" s="80"/>
      <c r="O181" s="80"/>
      <c r="P181" s="80"/>
      <c r="Q181" s="80"/>
    </row>
    <row r="182" s="76" customFormat="1" ht="24.95" customHeight="1" spans="1:17">
      <c r="A182" s="20">
        <v>176</v>
      </c>
      <c r="B182" s="38" t="s">
        <v>271</v>
      </c>
      <c r="C182" s="39" t="s">
        <v>278</v>
      </c>
      <c r="D182" s="39" t="s">
        <v>273</v>
      </c>
      <c r="E182" s="40">
        <v>10055</v>
      </c>
      <c r="F182" s="39" t="s">
        <v>93</v>
      </c>
      <c r="G182" s="46">
        <v>1</v>
      </c>
      <c r="H182" s="64">
        <v>3058</v>
      </c>
      <c r="I182" s="64">
        <v>3058</v>
      </c>
      <c r="J182" s="64">
        <v>39.57</v>
      </c>
      <c r="K182" s="64">
        <v>39.57</v>
      </c>
      <c r="L182" s="38"/>
      <c r="M182" s="80"/>
      <c r="N182" s="80"/>
      <c r="O182" s="80"/>
      <c r="P182" s="80"/>
      <c r="Q182" s="80"/>
    </row>
    <row r="183" s="76" customFormat="1" ht="24.95" customHeight="1" spans="1:17">
      <c r="A183" s="20">
        <v>177</v>
      </c>
      <c r="B183" s="38" t="s">
        <v>271</v>
      </c>
      <c r="C183" s="39" t="s">
        <v>279</v>
      </c>
      <c r="D183" s="39" t="s">
        <v>273</v>
      </c>
      <c r="E183" s="40">
        <v>10055</v>
      </c>
      <c r="F183" s="39" t="s">
        <v>93</v>
      </c>
      <c r="G183" s="46">
        <v>14</v>
      </c>
      <c r="H183" s="64">
        <v>3014.2</v>
      </c>
      <c r="I183" s="64">
        <v>42198.6</v>
      </c>
      <c r="J183" s="64">
        <v>38.65</v>
      </c>
      <c r="K183" s="64">
        <v>541.14</v>
      </c>
      <c r="L183" s="38"/>
      <c r="M183" s="80"/>
      <c r="N183" s="80"/>
      <c r="O183" s="80"/>
      <c r="P183" s="80"/>
      <c r="Q183" s="80"/>
    </row>
    <row r="184" s="76" customFormat="1" ht="24.95" customHeight="1" spans="1:17">
      <c r="A184" s="20">
        <v>178</v>
      </c>
      <c r="B184" s="38" t="s">
        <v>271</v>
      </c>
      <c r="C184" s="39" t="s">
        <v>280</v>
      </c>
      <c r="D184" s="39" t="s">
        <v>273</v>
      </c>
      <c r="E184" s="40">
        <v>10055</v>
      </c>
      <c r="F184" s="39" t="s">
        <v>93</v>
      </c>
      <c r="G184" s="46">
        <v>4</v>
      </c>
      <c r="H184" s="64">
        <v>3108.5</v>
      </c>
      <c r="I184" s="64">
        <v>12434</v>
      </c>
      <c r="J184" s="64">
        <v>40.46</v>
      </c>
      <c r="K184" s="64">
        <v>161.84</v>
      </c>
      <c r="L184" s="38"/>
      <c r="M184" s="80"/>
      <c r="N184" s="80"/>
      <c r="O184" s="80"/>
      <c r="P184" s="80"/>
      <c r="Q184" s="80"/>
    </row>
    <row r="185" s="76" customFormat="1" ht="24.95" customHeight="1" spans="1:17">
      <c r="A185" s="20">
        <v>179</v>
      </c>
      <c r="B185" s="38" t="s">
        <v>271</v>
      </c>
      <c r="C185" s="39" t="s">
        <v>281</v>
      </c>
      <c r="D185" s="39" t="s">
        <v>273</v>
      </c>
      <c r="E185" s="40">
        <v>10055</v>
      </c>
      <c r="F185" s="39" t="s">
        <v>93</v>
      </c>
      <c r="G185" s="46">
        <v>12</v>
      </c>
      <c r="H185" s="64">
        <v>3014.2</v>
      </c>
      <c r="I185" s="64">
        <v>36170.3</v>
      </c>
      <c r="J185" s="64">
        <v>38.65</v>
      </c>
      <c r="K185" s="64">
        <v>463.83</v>
      </c>
      <c r="L185" s="38"/>
      <c r="M185" s="80"/>
      <c r="N185" s="80"/>
      <c r="O185" s="80"/>
      <c r="P185" s="80"/>
      <c r="Q185" s="80"/>
    </row>
    <row r="186" s="76" customFormat="1" ht="24.95" customHeight="1" spans="1:17">
      <c r="A186" s="20">
        <v>180</v>
      </c>
      <c r="B186" s="38" t="s">
        <v>271</v>
      </c>
      <c r="C186" s="39" t="s">
        <v>282</v>
      </c>
      <c r="D186" s="39" t="s">
        <v>273</v>
      </c>
      <c r="E186" s="40">
        <v>11350</v>
      </c>
      <c r="F186" s="39" t="s">
        <v>93</v>
      </c>
      <c r="G186" s="46">
        <v>1</v>
      </c>
      <c r="H186" s="64">
        <v>3556.1</v>
      </c>
      <c r="I186" s="64">
        <v>3556.1</v>
      </c>
      <c r="J186" s="64">
        <v>47.03</v>
      </c>
      <c r="K186" s="64">
        <v>47.03</v>
      </c>
      <c r="L186" s="38"/>
      <c r="M186" s="80"/>
      <c r="N186" s="80"/>
      <c r="O186" s="80"/>
      <c r="P186" s="80"/>
      <c r="Q186" s="80"/>
    </row>
    <row r="187" s="76" customFormat="1" ht="24.95" customHeight="1" spans="1:17">
      <c r="A187" s="20">
        <v>181</v>
      </c>
      <c r="B187" s="38" t="s">
        <v>271</v>
      </c>
      <c r="C187" s="39" t="s">
        <v>283</v>
      </c>
      <c r="D187" s="39" t="s">
        <v>273</v>
      </c>
      <c r="E187" s="40">
        <v>11350</v>
      </c>
      <c r="F187" s="39" t="s">
        <v>93</v>
      </c>
      <c r="G187" s="46">
        <v>1</v>
      </c>
      <c r="H187" s="64">
        <v>3556.1</v>
      </c>
      <c r="I187" s="64">
        <v>3556.1</v>
      </c>
      <c r="J187" s="64">
        <v>47.03</v>
      </c>
      <c r="K187" s="64">
        <v>47.03</v>
      </c>
      <c r="L187" s="38"/>
      <c r="M187" s="80"/>
      <c r="N187" s="80"/>
      <c r="O187" s="80"/>
      <c r="P187" s="80"/>
      <c r="Q187" s="80"/>
    </row>
    <row r="188" s="76" customFormat="1" ht="24.95" customHeight="1" spans="1:17">
      <c r="A188" s="20">
        <v>182</v>
      </c>
      <c r="B188" s="38" t="s">
        <v>271</v>
      </c>
      <c r="C188" s="39" t="s">
        <v>284</v>
      </c>
      <c r="D188" s="39" t="s">
        <v>273</v>
      </c>
      <c r="E188" s="40">
        <v>10050</v>
      </c>
      <c r="F188" s="39" t="s">
        <v>93</v>
      </c>
      <c r="G188" s="46">
        <v>1</v>
      </c>
      <c r="H188" s="64">
        <v>2843.8</v>
      </c>
      <c r="I188" s="64">
        <v>2843.8</v>
      </c>
      <c r="J188" s="64">
        <v>35.51</v>
      </c>
      <c r="K188" s="64">
        <v>35.51</v>
      </c>
      <c r="L188" s="38"/>
      <c r="M188" s="80"/>
      <c r="N188" s="80"/>
      <c r="O188" s="80"/>
      <c r="P188" s="80"/>
      <c r="Q188" s="80"/>
    </row>
    <row r="189" s="76" customFormat="1" ht="24.95" customHeight="1" spans="1:17">
      <c r="A189" s="20">
        <v>183</v>
      </c>
      <c r="B189" s="38" t="s">
        <v>271</v>
      </c>
      <c r="C189" s="39" t="s">
        <v>285</v>
      </c>
      <c r="D189" s="39" t="s">
        <v>273</v>
      </c>
      <c r="E189" s="40">
        <v>10050</v>
      </c>
      <c r="F189" s="39" t="s">
        <v>93</v>
      </c>
      <c r="G189" s="46">
        <v>1</v>
      </c>
      <c r="H189" s="64">
        <v>2843.8</v>
      </c>
      <c r="I189" s="64">
        <v>2843.8</v>
      </c>
      <c r="J189" s="64">
        <v>35.51</v>
      </c>
      <c r="K189" s="64">
        <v>35.51</v>
      </c>
      <c r="L189" s="38"/>
      <c r="M189" s="80"/>
      <c r="N189" s="80"/>
      <c r="O189" s="80"/>
      <c r="P189" s="80"/>
      <c r="Q189" s="80"/>
    </row>
    <row r="190" s="76" customFormat="1" ht="24.95" customHeight="1" spans="1:17">
      <c r="A190" s="20">
        <v>184</v>
      </c>
      <c r="B190" s="38" t="s">
        <v>271</v>
      </c>
      <c r="C190" s="39" t="s">
        <v>286</v>
      </c>
      <c r="D190" s="39" t="s">
        <v>273</v>
      </c>
      <c r="E190" s="40">
        <v>10050</v>
      </c>
      <c r="F190" s="39" t="s">
        <v>93</v>
      </c>
      <c r="G190" s="46">
        <v>1</v>
      </c>
      <c r="H190" s="64">
        <v>2834.3</v>
      </c>
      <c r="I190" s="64">
        <v>2834.3</v>
      </c>
      <c r="J190" s="64">
        <v>35.29</v>
      </c>
      <c r="K190" s="64">
        <v>35.29</v>
      </c>
      <c r="L190" s="38"/>
      <c r="M190" s="80"/>
      <c r="N190" s="80"/>
      <c r="O190" s="80"/>
      <c r="P190" s="80"/>
      <c r="Q190" s="80"/>
    </row>
    <row r="191" s="76" customFormat="1" ht="24.95" customHeight="1" spans="1:17">
      <c r="A191" s="20">
        <v>185</v>
      </c>
      <c r="B191" s="38" t="s">
        <v>271</v>
      </c>
      <c r="C191" s="39" t="s">
        <v>287</v>
      </c>
      <c r="D191" s="39" t="s">
        <v>273</v>
      </c>
      <c r="E191" s="40">
        <v>10050</v>
      </c>
      <c r="F191" s="39" t="s">
        <v>93</v>
      </c>
      <c r="G191" s="46">
        <v>1</v>
      </c>
      <c r="H191" s="64">
        <v>2834.3</v>
      </c>
      <c r="I191" s="64">
        <v>2834.3</v>
      </c>
      <c r="J191" s="64">
        <v>35.29</v>
      </c>
      <c r="K191" s="64">
        <v>35.29</v>
      </c>
      <c r="L191" s="38"/>
      <c r="M191" s="80"/>
      <c r="N191" s="80"/>
      <c r="O191" s="80"/>
      <c r="P191" s="80"/>
      <c r="Q191" s="80"/>
    </row>
    <row r="192" s="76" customFormat="1" ht="24.95" customHeight="1" spans="1:17">
      <c r="A192" s="20">
        <v>186</v>
      </c>
      <c r="B192" s="38" t="s">
        <v>271</v>
      </c>
      <c r="C192" s="39" t="s">
        <v>288</v>
      </c>
      <c r="D192" s="39" t="s">
        <v>273</v>
      </c>
      <c r="E192" s="40">
        <v>10050</v>
      </c>
      <c r="F192" s="39" t="s">
        <v>93</v>
      </c>
      <c r="G192" s="46">
        <v>1</v>
      </c>
      <c r="H192" s="64">
        <v>2877.6</v>
      </c>
      <c r="I192" s="64">
        <v>2877.6</v>
      </c>
      <c r="J192" s="64">
        <v>36.2</v>
      </c>
      <c r="K192" s="64">
        <v>36.2</v>
      </c>
      <c r="L192" s="38"/>
      <c r="M192" s="80"/>
      <c r="N192" s="80"/>
      <c r="O192" s="80"/>
      <c r="P192" s="80"/>
      <c r="Q192" s="80"/>
    </row>
    <row r="193" s="76" customFormat="1" ht="24.95" customHeight="1" spans="1:17">
      <c r="A193" s="20">
        <v>187</v>
      </c>
      <c r="B193" s="38" t="s">
        <v>271</v>
      </c>
      <c r="C193" s="39" t="s">
        <v>289</v>
      </c>
      <c r="D193" s="39" t="s">
        <v>273</v>
      </c>
      <c r="E193" s="40">
        <v>11350</v>
      </c>
      <c r="F193" s="39" t="s">
        <v>93</v>
      </c>
      <c r="G193" s="46">
        <v>1</v>
      </c>
      <c r="H193" s="64">
        <v>3133.3</v>
      </c>
      <c r="I193" s="64">
        <v>3133.3</v>
      </c>
      <c r="J193" s="64">
        <v>38.48</v>
      </c>
      <c r="K193" s="64">
        <v>38.48</v>
      </c>
      <c r="L193" s="38"/>
      <c r="M193" s="80"/>
      <c r="N193" s="80"/>
      <c r="O193" s="80"/>
      <c r="P193" s="80"/>
      <c r="Q193" s="80"/>
    </row>
    <row r="194" s="76" customFormat="1" ht="24.95" customHeight="1" spans="1:17">
      <c r="A194" s="20">
        <v>188</v>
      </c>
      <c r="B194" s="38" t="s">
        <v>271</v>
      </c>
      <c r="C194" s="39" t="s">
        <v>290</v>
      </c>
      <c r="D194" s="39" t="s">
        <v>273</v>
      </c>
      <c r="E194" s="40">
        <v>11350</v>
      </c>
      <c r="F194" s="39" t="s">
        <v>93</v>
      </c>
      <c r="G194" s="46">
        <v>1</v>
      </c>
      <c r="H194" s="64">
        <v>3133.3</v>
      </c>
      <c r="I194" s="64">
        <v>3133.3</v>
      </c>
      <c r="J194" s="64">
        <v>38.48</v>
      </c>
      <c r="K194" s="64">
        <v>38.48</v>
      </c>
      <c r="L194" s="38"/>
      <c r="M194" s="80"/>
      <c r="N194" s="80"/>
      <c r="O194" s="80"/>
      <c r="P194" s="80"/>
      <c r="Q194" s="80"/>
    </row>
    <row r="195" s="76" customFormat="1" ht="24.95" customHeight="1" spans="1:17">
      <c r="A195" s="20">
        <v>189</v>
      </c>
      <c r="B195" s="38" t="s">
        <v>271</v>
      </c>
      <c r="C195" s="39" t="s">
        <v>291</v>
      </c>
      <c r="D195" s="39" t="s">
        <v>273</v>
      </c>
      <c r="E195" s="40">
        <v>10050</v>
      </c>
      <c r="F195" s="39" t="s">
        <v>93</v>
      </c>
      <c r="G195" s="46">
        <v>1</v>
      </c>
      <c r="H195" s="64">
        <v>2806.8</v>
      </c>
      <c r="I195" s="64">
        <v>2806.8</v>
      </c>
      <c r="J195" s="64">
        <v>34.51</v>
      </c>
      <c r="K195" s="64">
        <v>34.51</v>
      </c>
      <c r="L195" s="38"/>
      <c r="M195" s="80"/>
      <c r="N195" s="80"/>
      <c r="O195" s="80"/>
      <c r="P195" s="80"/>
      <c r="Q195" s="80"/>
    </row>
    <row r="196" s="76" customFormat="1" ht="24.95" customHeight="1" spans="1:17">
      <c r="A196" s="20">
        <v>190</v>
      </c>
      <c r="B196" s="38" t="s">
        <v>271</v>
      </c>
      <c r="C196" s="39" t="s">
        <v>292</v>
      </c>
      <c r="D196" s="39" t="s">
        <v>273</v>
      </c>
      <c r="E196" s="40">
        <v>10050</v>
      </c>
      <c r="F196" s="39" t="s">
        <v>93</v>
      </c>
      <c r="G196" s="46">
        <v>1</v>
      </c>
      <c r="H196" s="64">
        <v>2806.8</v>
      </c>
      <c r="I196" s="64">
        <v>2806.8</v>
      </c>
      <c r="J196" s="64">
        <v>34.51</v>
      </c>
      <c r="K196" s="64">
        <v>34.51</v>
      </c>
      <c r="L196" s="38"/>
      <c r="M196" s="80"/>
      <c r="N196" s="80"/>
      <c r="O196" s="80"/>
      <c r="P196" s="80"/>
      <c r="Q196" s="80"/>
    </row>
    <row r="197" s="76" customFormat="1" ht="24.95" customHeight="1" spans="1:17">
      <c r="A197" s="20">
        <v>191</v>
      </c>
      <c r="B197" s="38" t="s">
        <v>271</v>
      </c>
      <c r="C197" s="39" t="s">
        <v>293</v>
      </c>
      <c r="D197" s="39" t="s">
        <v>273</v>
      </c>
      <c r="E197" s="40">
        <v>17875</v>
      </c>
      <c r="F197" s="39" t="s">
        <v>93</v>
      </c>
      <c r="G197" s="46">
        <v>1</v>
      </c>
      <c r="H197" s="64">
        <v>5652.1</v>
      </c>
      <c r="I197" s="64">
        <v>5652.1</v>
      </c>
      <c r="J197" s="64">
        <v>77.04</v>
      </c>
      <c r="K197" s="64">
        <v>77.04</v>
      </c>
      <c r="L197" s="38"/>
      <c r="M197" s="80"/>
      <c r="N197" s="80"/>
      <c r="O197" s="80"/>
      <c r="P197" s="80"/>
      <c r="Q197" s="80"/>
    </row>
    <row r="198" s="76" customFormat="1" ht="24.95" customHeight="1" spans="1:17">
      <c r="A198" s="20">
        <v>192</v>
      </c>
      <c r="B198" s="38" t="s">
        <v>271</v>
      </c>
      <c r="C198" s="39" t="s">
        <v>294</v>
      </c>
      <c r="D198" s="39" t="s">
        <v>273</v>
      </c>
      <c r="E198" s="40">
        <v>17875</v>
      </c>
      <c r="F198" s="39" t="s">
        <v>93</v>
      </c>
      <c r="G198" s="46">
        <v>1</v>
      </c>
      <c r="H198" s="64">
        <v>5652.1</v>
      </c>
      <c r="I198" s="64">
        <v>5652.1</v>
      </c>
      <c r="J198" s="64">
        <v>77.04</v>
      </c>
      <c r="K198" s="64">
        <v>77.04</v>
      </c>
      <c r="L198" s="38"/>
      <c r="M198" s="80"/>
      <c r="N198" s="80"/>
      <c r="O198" s="80"/>
      <c r="P198" s="80"/>
      <c r="Q198" s="80"/>
    </row>
    <row r="199" s="76" customFormat="1" ht="24.95" customHeight="1" spans="1:17">
      <c r="A199" s="20">
        <v>193</v>
      </c>
      <c r="B199" s="38" t="s">
        <v>271</v>
      </c>
      <c r="C199" s="39" t="s">
        <v>295</v>
      </c>
      <c r="D199" s="39" t="s">
        <v>273</v>
      </c>
      <c r="E199" s="40">
        <v>17875</v>
      </c>
      <c r="F199" s="39" t="s">
        <v>93</v>
      </c>
      <c r="G199" s="46">
        <v>2</v>
      </c>
      <c r="H199" s="64">
        <v>5124.6</v>
      </c>
      <c r="I199" s="64">
        <v>10249.1</v>
      </c>
      <c r="J199" s="64">
        <v>68.49</v>
      </c>
      <c r="K199" s="64">
        <v>136.99</v>
      </c>
      <c r="L199" s="38"/>
      <c r="M199" s="80"/>
      <c r="N199" s="80"/>
      <c r="O199" s="80"/>
      <c r="P199" s="80"/>
      <c r="Q199" s="80"/>
    </row>
    <row r="200" s="76" customFormat="1" ht="24.95" customHeight="1" spans="1:17">
      <c r="A200" s="20">
        <v>194</v>
      </c>
      <c r="B200" s="38" t="s">
        <v>271</v>
      </c>
      <c r="C200" s="39" t="s">
        <v>296</v>
      </c>
      <c r="D200" s="39" t="s">
        <v>273</v>
      </c>
      <c r="E200" s="40">
        <v>17875</v>
      </c>
      <c r="F200" s="39" t="s">
        <v>93</v>
      </c>
      <c r="G200" s="46">
        <v>2</v>
      </c>
      <c r="H200" s="64">
        <v>5124.6</v>
      </c>
      <c r="I200" s="64">
        <v>10249.1</v>
      </c>
      <c r="J200" s="64">
        <v>68.49</v>
      </c>
      <c r="K200" s="64">
        <v>136.99</v>
      </c>
      <c r="L200" s="38"/>
      <c r="M200" s="80"/>
      <c r="N200" s="80"/>
      <c r="O200" s="80"/>
      <c r="P200" s="80"/>
      <c r="Q200" s="80"/>
    </row>
    <row r="201" s="76" customFormat="1" ht="24.95" customHeight="1" spans="1:17">
      <c r="A201" s="20">
        <v>195</v>
      </c>
      <c r="B201" s="38" t="s">
        <v>271</v>
      </c>
      <c r="C201" s="39" t="s">
        <v>297</v>
      </c>
      <c r="D201" s="39" t="s">
        <v>273</v>
      </c>
      <c r="E201" s="40">
        <v>11350</v>
      </c>
      <c r="F201" s="39" t="s">
        <v>93</v>
      </c>
      <c r="G201" s="46">
        <v>1</v>
      </c>
      <c r="H201" s="64">
        <v>3222.3</v>
      </c>
      <c r="I201" s="64">
        <v>3222.3</v>
      </c>
      <c r="J201" s="64">
        <v>41.69</v>
      </c>
      <c r="K201" s="64">
        <v>41.69</v>
      </c>
      <c r="L201" s="38"/>
      <c r="M201" s="80"/>
      <c r="N201" s="80"/>
      <c r="O201" s="80"/>
      <c r="P201" s="80"/>
      <c r="Q201" s="80"/>
    </row>
    <row r="202" s="76" customFormat="1" ht="24.95" customHeight="1" spans="1:17">
      <c r="A202" s="20">
        <v>196</v>
      </c>
      <c r="B202" s="38" t="s">
        <v>271</v>
      </c>
      <c r="C202" s="39" t="s">
        <v>298</v>
      </c>
      <c r="D202" s="39" t="s">
        <v>273</v>
      </c>
      <c r="E202" s="40">
        <v>11350</v>
      </c>
      <c r="F202" s="39" t="s">
        <v>93</v>
      </c>
      <c r="G202" s="46">
        <v>1</v>
      </c>
      <c r="H202" s="64">
        <v>3259.4</v>
      </c>
      <c r="I202" s="64">
        <v>3259.4</v>
      </c>
      <c r="J202" s="64">
        <v>43.21</v>
      </c>
      <c r="K202" s="64">
        <v>43.21</v>
      </c>
      <c r="L202" s="38"/>
      <c r="M202" s="80"/>
      <c r="N202" s="80"/>
      <c r="O202" s="80"/>
      <c r="P202" s="80"/>
      <c r="Q202" s="80"/>
    </row>
    <row r="203" s="76" customFormat="1" ht="24.95" customHeight="1" spans="1:17">
      <c r="A203" s="20">
        <v>197</v>
      </c>
      <c r="B203" s="38" t="s">
        <v>271</v>
      </c>
      <c r="C203" s="39" t="s">
        <v>299</v>
      </c>
      <c r="D203" s="39" t="s">
        <v>273</v>
      </c>
      <c r="E203" s="40">
        <v>11350</v>
      </c>
      <c r="F203" s="39" t="s">
        <v>93</v>
      </c>
      <c r="G203" s="46">
        <v>1</v>
      </c>
      <c r="H203" s="64">
        <v>3222.3</v>
      </c>
      <c r="I203" s="64">
        <v>3222.3</v>
      </c>
      <c r="J203" s="64">
        <v>41.69</v>
      </c>
      <c r="K203" s="64">
        <v>41.69</v>
      </c>
      <c r="L203" s="38"/>
      <c r="M203" s="80"/>
      <c r="N203" s="80"/>
      <c r="O203" s="80"/>
      <c r="P203" s="80"/>
      <c r="Q203" s="80"/>
    </row>
    <row r="204" s="76" customFormat="1" ht="24.95" customHeight="1" spans="1:17">
      <c r="A204" s="20">
        <v>198</v>
      </c>
      <c r="B204" s="38" t="s">
        <v>271</v>
      </c>
      <c r="C204" s="39" t="s">
        <v>300</v>
      </c>
      <c r="D204" s="39" t="s">
        <v>273</v>
      </c>
      <c r="E204" s="40">
        <v>11350</v>
      </c>
      <c r="F204" s="39" t="s">
        <v>93</v>
      </c>
      <c r="G204" s="46">
        <v>1</v>
      </c>
      <c r="H204" s="64">
        <v>3291.1</v>
      </c>
      <c r="I204" s="64">
        <v>3291.1</v>
      </c>
      <c r="J204" s="64">
        <v>43.66</v>
      </c>
      <c r="K204" s="64">
        <v>43.66</v>
      </c>
      <c r="L204" s="38"/>
      <c r="M204" s="80"/>
      <c r="N204" s="80"/>
      <c r="O204" s="80"/>
      <c r="P204" s="80"/>
      <c r="Q204" s="80"/>
    </row>
    <row r="205" s="76" customFormat="1" ht="24.95" customHeight="1" spans="1:17">
      <c r="A205" s="20">
        <v>199</v>
      </c>
      <c r="B205" s="38" t="s">
        <v>271</v>
      </c>
      <c r="C205" s="39" t="s">
        <v>301</v>
      </c>
      <c r="D205" s="39" t="s">
        <v>273</v>
      </c>
      <c r="E205" s="40">
        <v>17875</v>
      </c>
      <c r="F205" s="39" t="s">
        <v>93</v>
      </c>
      <c r="G205" s="46">
        <v>2</v>
      </c>
      <c r="H205" s="64">
        <v>4683.2</v>
      </c>
      <c r="I205" s="64">
        <v>9366.5</v>
      </c>
      <c r="J205" s="64">
        <v>59.63</v>
      </c>
      <c r="K205" s="64">
        <v>119.26</v>
      </c>
      <c r="L205" s="38"/>
      <c r="M205" s="80"/>
      <c r="N205" s="80"/>
      <c r="O205" s="80"/>
      <c r="P205" s="80"/>
      <c r="Q205" s="80"/>
    </row>
    <row r="206" s="76" customFormat="1" ht="24.95" customHeight="1" spans="1:17">
      <c r="A206" s="20">
        <v>200</v>
      </c>
      <c r="B206" s="38" t="s">
        <v>271</v>
      </c>
      <c r="C206" s="39" t="s">
        <v>302</v>
      </c>
      <c r="D206" s="39" t="s">
        <v>273</v>
      </c>
      <c r="E206" s="40">
        <v>17875</v>
      </c>
      <c r="F206" s="39" t="s">
        <v>93</v>
      </c>
      <c r="G206" s="46">
        <v>2</v>
      </c>
      <c r="H206" s="64">
        <v>4683.2</v>
      </c>
      <c r="I206" s="64">
        <v>9366.5</v>
      </c>
      <c r="J206" s="64">
        <v>59.63</v>
      </c>
      <c r="K206" s="64">
        <v>119.26</v>
      </c>
      <c r="L206" s="38"/>
      <c r="M206" s="80"/>
      <c r="N206" s="80"/>
      <c r="O206" s="80"/>
      <c r="P206" s="80"/>
      <c r="Q206" s="80"/>
    </row>
    <row r="207" s="76" customFormat="1" ht="24.95" customHeight="1" spans="1:17">
      <c r="A207" s="20">
        <v>201</v>
      </c>
      <c r="B207" s="38" t="s">
        <v>271</v>
      </c>
      <c r="C207" s="39" t="s">
        <v>303</v>
      </c>
      <c r="D207" s="39" t="s">
        <v>273</v>
      </c>
      <c r="E207" s="40">
        <v>10055</v>
      </c>
      <c r="F207" s="39" t="s">
        <v>93</v>
      </c>
      <c r="G207" s="46">
        <v>1</v>
      </c>
      <c r="H207" s="64">
        <v>3057.5</v>
      </c>
      <c r="I207" s="64">
        <v>3057.5</v>
      </c>
      <c r="J207" s="64">
        <v>39.56</v>
      </c>
      <c r="K207" s="64">
        <v>39.56</v>
      </c>
      <c r="L207" s="38"/>
      <c r="M207" s="80"/>
      <c r="N207" s="80"/>
      <c r="O207" s="80"/>
      <c r="P207" s="80"/>
      <c r="Q207" s="80"/>
    </row>
    <row r="208" s="76" customFormat="1" ht="24.95" customHeight="1" spans="1:17">
      <c r="A208" s="20">
        <v>202</v>
      </c>
      <c r="B208" s="38" t="s">
        <v>271</v>
      </c>
      <c r="C208" s="39" t="s">
        <v>304</v>
      </c>
      <c r="D208" s="39" t="s">
        <v>273</v>
      </c>
      <c r="E208" s="40">
        <v>12240</v>
      </c>
      <c r="F208" s="39" t="s">
        <v>93</v>
      </c>
      <c r="G208" s="46">
        <v>1</v>
      </c>
      <c r="H208" s="64">
        <v>3442.5</v>
      </c>
      <c r="I208" s="64">
        <v>3442.5</v>
      </c>
      <c r="J208" s="64">
        <v>44.71</v>
      </c>
      <c r="K208" s="64">
        <v>44.71</v>
      </c>
      <c r="L208" s="38"/>
      <c r="M208" s="80"/>
      <c r="N208" s="80"/>
      <c r="O208" s="80"/>
      <c r="P208" s="80"/>
      <c r="Q208" s="80"/>
    </row>
    <row r="209" s="76" customFormat="1" ht="24.95" customHeight="1" spans="1:17">
      <c r="A209" s="20">
        <v>203</v>
      </c>
      <c r="B209" s="38" t="s">
        <v>271</v>
      </c>
      <c r="C209" s="39" t="s">
        <v>305</v>
      </c>
      <c r="D209" s="39" t="s">
        <v>273</v>
      </c>
      <c r="E209" s="40">
        <v>12240</v>
      </c>
      <c r="F209" s="39" t="s">
        <v>93</v>
      </c>
      <c r="G209" s="46">
        <v>1</v>
      </c>
      <c r="H209" s="64">
        <v>3381.8</v>
      </c>
      <c r="I209" s="64">
        <v>3381.8</v>
      </c>
      <c r="J209" s="64">
        <v>43.97</v>
      </c>
      <c r="K209" s="64">
        <v>43.97</v>
      </c>
      <c r="L209" s="38"/>
      <c r="M209" s="80"/>
      <c r="N209" s="80"/>
      <c r="O209" s="80"/>
      <c r="P209" s="80"/>
      <c r="Q209" s="80"/>
    </row>
    <row r="210" s="76" customFormat="1" ht="24.95" customHeight="1" spans="1:17">
      <c r="A210" s="20">
        <v>204</v>
      </c>
      <c r="B210" s="38" t="s">
        <v>271</v>
      </c>
      <c r="C210" s="39" t="s">
        <v>306</v>
      </c>
      <c r="D210" s="39" t="s">
        <v>273</v>
      </c>
      <c r="E210" s="40">
        <v>12240</v>
      </c>
      <c r="F210" s="39" t="s">
        <v>93</v>
      </c>
      <c r="G210" s="46">
        <v>1</v>
      </c>
      <c r="H210" s="64">
        <v>3669.9</v>
      </c>
      <c r="I210" s="64">
        <v>3669.9</v>
      </c>
      <c r="J210" s="64">
        <v>47.81</v>
      </c>
      <c r="K210" s="64">
        <v>47.81</v>
      </c>
      <c r="L210" s="38"/>
      <c r="M210" s="80"/>
      <c r="N210" s="80"/>
      <c r="O210" s="80"/>
      <c r="P210" s="80"/>
      <c r="Q210" s="80"/>
    </row>
    <row r="211" s="76" customFormat="1" ht="24.95" customHeight="1" spans="1:17">
      <c r="A211" s="20">
        <v>205</v>
      </c>
      <c r="B211" s="38" t="s">
        <v>271</v>
      </c>
      <c r="C211" s="39" t="s">
        <v>307</v>
      </c>
      <c r="D211" s="39" t="s">
        <v>273</v>
      </c>
      <c r="E211" s="40">
        <v>16990</v>
      </c>
      <c r="F211" s="39" t="s">
        <v>93</v>
      </c>
      <c r="G211" s="46">
        <v>1</v>
      </c>
      <c r="H211" s="64">
        <v>4493</v>
      </c>
      <c r="I211" s="64">
        <v>4493</v>
      </c>
      <c r="J211" s="64">
        <v>59.74</v>
      </c>
      <c r="K211" s="64">
        <v>59.74</v>
      </c>
      <c r="L211" s="38"/>
      <c r="M211" s="80"/>
      <c r="N211" s="80"/>
      <c r="O211" s="80"/>
      <c r="P211" s="80"/>
      <c r="Q211" s="80"/>
    </row>
    <row r="212" s="76" customFormat="1" ht="24.95" customHeight="1" spans="1:17">
      <c r="A212" s="20">
        <v>206</v>
      </c>
      <c r="B212" s="38" t="s">
        <v>271</v>
      </c>
      <c r="C212" s="39" t="s">
        <v>308</v>
      </c>
      <c r="D212" s="39" t="s">
        <v>273</v>
      </c>
      <c r="E212" s="40">
        <v>12240</v>
      </c>
      <c r="F212" s="39" t="s">
        <v>93</v>
      </c>
      <c r="G212" s="46">
        <v>1</v>
      </c>
      <c r="H212" s="64">
        <v>3519.1</v>
      </c>
      <c r="I212" s="64">
        <v>3519.1</v>
      </c>
      <c r="J212" s="64">
        <v>45.45</v>
      </c>
      <c r="K212" s="64">
        <v>45.45</v>
      </c>
      <c r="L212" s="38"/>
      <c r="M212" s="80"/>
      <c r="N212" s="80"/>
      <c r="O212" s="80"/>
      <c r="P212" s="80"/>
      <c r="Q212" s="80"/>
    </row>
    <row r="213" s="76" customFormat="1" ht="24.95" customHeight="1" spans="1:17">
      <c r="A213" s="20">
        <v>207</v>
      </c>
      <c r="B213" s="38" t="s">
        <v>271</v>
      </c>
      <c r="C213" s="39" t="s">
        <v>309</v>
      </c>
      <c r="D213" s="39" t="s">
        <v>273</v>
      </c>
      <c r="E213" s="40">
        <v>16990</v>
      </c>
      <c r="F213" s="39" t="s">
        <v>93</v>
      </c>
      <c r="G213" s="46">
        <v>1</v>
      </c>
      <c r="H213" s="64">
        <v>4493</v>
      </c>
      <c r="I213" s="64">
        <v>4493</v>
      </c>
      <c r="J213" s="64">
        <v>59.74</v>
      </c>
      <c r="K213" s="64">
        <v>59.74</v>
      </c>
      <c r="L213" s="38"/>
      <c r="M213" s="80"/>
      <c r="N213" s="80"/>
      <c r="O213" s="80"/>
      <c r="P213" s="80"/>
      <c r="Q213" s="80"/>
    </row>
    <row r="214" s="76" customFormat="1" ht="24.95" customHeight="1" spans="1:17">
      <c r="A214" s="20">
        <v>208</v>
      </c>
      <c r="B214" s="38" t="s">
        <v>271</v>
      </c>
      <c r="C214" s="39" t="s">
        <v>310</v>
      </c>
      <c r="D214" s="39" t="s">
        <v>273</v>
      </c>
      <c r="E214" s="40">
        <v>16990</v>
      </c>
      <c r="F214" s="39" t="s">
        <v>93</v>
      </c>
      <c r="G214" s="46">
        <v>1</v>
      </c>
      <c r="H214" s="64">
        <v>4395.7</v>
      </c>
      <c r="I214" s="64">
        <v>4395.7</v>
      </c>
      <c r="J214" s="64">
        <v>56.99</v>
      </c>
      <c r="K214" s="64">
        <v>56.99</v>
      </c>
      <c r="L214" s="38"/>
      <c r="M214" s="80"/>
      <c r="N214" s="80"/>
      <c r="O214" s="80"/>
      <c r="P214" s="80"/>
      <c r="Q214" s="80"/>
    </row>
    <row r="215" s="76" customFormat="1" ht="24.95" customHeight="1" spans="1:17">
      <c r="A215" s="20">
        <v>209</v>
      </c>
      <c r="B215" s="38" t="s">
        <v>271</v>
      </c>
      <c r="C215" s="39" t="s">
        <v>311</v>
      </c>
      <c r="D215" s="39" t="s">
        <v>273</v>
      </c>
      <c r="E215" s="40">
        <v>16990</v>
      </c>
      <c r="F215" s="39" t="s">
        <v>93</v>
      </c>
      <c r="G215" s="46">
        <v>1</v>
      </c>
      <c r="H215" s="64">
        <v>4497.8</v>
      </c>
      <c r="I215" s="64">
        <v>4497.8</v>
      </c>
      <c r="J215" s="64">
        <v>59.75</v>
      </c>
      <c r="K215" s="64">
        <v>59.75</v>
      </c>
      <c r="L215" s="38"/>
      <c r="M215" s="80"/>
      <c r="N215" s="80"/>
      <c r="O215" s="80"/>
      <c r="P215" s="80"/>
      <c r="Q215" s="80"/>
    </row>
    <row r="216" s="76" customFormat="1" ht="24.95" customHeight="1" spans="1:17">
      <c r="A216" s="20">
        <v>210</v>
      </c>
      <c r="B216" s="38" t="s">
        <v>271</v>
      </c>
      <c r="C216" s="39" t="s">
        <v>312</v>
      </c>
      <c r="D216" s="39" t="s">
        <v>273</v>
      </c>
      <c r="E216" s="40">
        <v>17875</v>
      </c>
      <c r="F216" s="39" t="s">
        <v>93</v>
      </c>
      <c r="G216" s="46">
        <v>2</v>
      </c>
      <c r="H216" s="64">
        <v>5652.1</v>
      </c>
      <c r="I216" s="64">
        <v>11304.2</v>
      </c>
      <c r="J216" s="64">
        <v>77.04</v>
      </c>
      <c r="K216" s="64">
        <v>154.08</v>
      </c>
      <c r="L216" s="38"/>
      <c r="M216" s="80"/>
      <c r="N216" s="80"/>
      <c r="O216" s="80"/>
      <c r="P216" s="80"/>
      <c r="Q216" s="80"/>
    </row>
    <row r="217" s="76" customFormat="1" ht="24.95" customHeight="1" spans="1:17">
      <c r="A217" s="20">
        <v>211</v>
      </c>
      <c r="B217" s="38" t="s">
        <v>271</v>
      </c>
      <c r="C217" s="39" t="s">
        <v>313</v>
      </c>
      <c r="D217" s="39" t="s">
        <v>314</v>
      </c>
      <c r="E217" s="40">
        <v>16985</v>
      </c>
      <c r="F217" s="39" t="s">
        <v>93</v>
      </c>
      <c r="G217" s="46">
        <v>1</v>
      </c>
      <c r="H217" s="64">
        <v>3194.7</v>
      </c>
      <c r="I217" s="64">
        <v>3194.7</v>
      </c>
      <c r="J217" s="64">
        <v>42.88</v>
      </c>
      <c r="K217" s="64">
        <v>42.88</v>
      </c>
      <c r="L217" s="38"/>
      <c r="M217" s="80"/>
      <c r="N217" s="80"/>
      <c r="O217" s="80"/>
      <c r="P217" s="80"/>
      <c r="Q217" s="80"/>
    </row>
    <row r="218" s="76" customFormat="1" ht="24.95" customHeight="1" spans="1:17">
      <c r="A218" s="20">
        <v>212</v>
      </c>
      <c r="B218" s="38" t="s">
        <v>271</v>
      </c>
      <c r="C218" s="39" t="s">
        <v>315</v>
      </c>
      <c r="D218" s="39" t="s">
        <v>314</v>
      </c>
      <c r="E218" s="40">
        <v>12240</v>
      </c>
      <c r="F218" s="39" t="s">
        <v>93</v>
      </c>
      <c r="G218" s="46">
        <v>1</v>
      </c>
      <c r="H218" s="64">
        <v>2496</v>
      </c>
      <c r="I218" s="64">
        <v>2496</v>
      </c>
      <c r="J218" s="64">
        <v>34.4</v>
      </c>
      <c r="K218" s="64">
        <v>34.4</v>
      </c>
      <c r="L218" s="38"/>
      <c r="M218" s="80"/>
      <c r="N218" s="80"/>
      <c r="O218" s="80"/>
      <c r="P218" s="80"/>
      <c r="Q218" s="80"/>
    </row>
    <row r="219" s="76" customFormat="1" ht="24.95" customHeight="1" spans="1:17">
      <c r="A219" s="20">
        <v>213</v>
      </c>
      <c r="B219" s="38" t="s">
        <v>316</v>
      </c>
      <c r="C219" s="39" t="s">
        <v>317</v>
      </c>
      <c r="D219" s="39" t="s">
        <v>318</v>
      </c>
      <c r="E219" s="40">
        <v>940</v>
      </c>
      <c r="F219" s="39" t="s">
        <v>319</v>
      </c>
      <c r="G219" s="46">
        <v>1</v>
      </c>
      <c r="H219" s="64">
        <v>17.2</v>
      </c>
      <c r="I219" s="64">
        <v>17.2</v>
      </c>
      <c r="J219" s="64">
        <v>0.87</v>
      </c>
      <c r="K219" s="64">
        <v>0.87</v>
      </c>
      <c r="L219" s="38"/>
      <c r="M219" s="80"/>
      <c r="N219" s="80"/>
      <c r="O219" s="80"/>
      <c r="P219" s="80"/>
      <c r="Q219" s="80"/>
    </row>
    <row r="220" s="76" customFormat="1" ht="24.95" customHeight="1" spans="1:17">
      <c r="A220" s="20">
        <v>214</v>
      </c>
      <c r="B220" s="38" t="s">
        <v>316</v>
      </c>
      <c r="C220" s="39" t="s">
        <v>320</v>
      </c>
      <c r="D220" s="39" t="s">
        <v>318</v>
      </c>
      <c r="E220" s="40">
        <v>4148.8</v>
      </c>
      <c r="F220" s="39" t="s">
        <v>319</v>
      </c>
      <c r="G220" s="46">
        <v>1</v>
      </c>
      <c r="H220" s="64">
        <v>47.3</v>
      </c>
      <c r="I220" s="64">
        <v>47.3</v>
      </c>
      <c r="J220" s="64">
        <v>2.49</v>
      </c>
      <c r="K220" s="64">
        <v>2.49</v>
      </c>
      <c r="L220" s="38"/>
      <c r="M220" s="80"/>
      <c r="N220" s="80"/>
      <c r="O220" s="80"/>
      <c r="P220" s="80"/>
      <c r="Q220" s="80"/>
    </row>
    <row r="221" s="76" customFormat="1" ht="24.95" customHeight="1" spans="1:17">
      <c r="A221" s="20">
        <v>215</v>
      </c>
      <c r="B221" s="38" t="s">
        <v>316</v>
      </c>
      <c r="C221" s="39" t="s">
        <v>321</v>
      </c>
      <c r="D221" s="39" t="s">
        <v>318</v>
      </c>
      <c r="E221" s="40">
        <v>4148.8</v>
      </c>
      <c r="F221" s="39" t="s">
        <v>319</v>
      </c>
      <c r="G221" s="46">
        <v>1</v>
      </c>
      <c r="H221" s="64">
        <v>47.3</v>
      </c>
      <c r="I221" s="64">
        <v>47.3</v>
      </c>
      <c r="J221" s="64">
        <v>2.49</v>
      </c>
      <c r="K221" s="64">
        <v>2.49</v>
      </c>
      <c r="L221" s="38"/>
      <c r="M221" s="80"/>
      <c r="N221" s="80"/>
      <c r="O221" s="80"/>
      <c r="P221" s="80"/>
      <c r="Q221" s="80"/>
    </row>
    <row r="222" s="76" customFormat="1" ht="24.95" customHeight="1" spans="1:17">
      <c r="A222" s="20">
        <v>216</v>
      </c>
      <c r="B222" s="38" t="s">
        <v>316</v>
      </c>
      <c r="C222" s="39" t="s">
        <v>322</v>
      </c>
      <c r="D222" s="39" t="s">
        <v>318</v>
      </c>
      <c r="E222" s="40">
        <v>3969.7</v>
      </c>
      <c r="F222" s="39" t="s">
        <v>319</v>
      </c>
      <c r="G222" s="46">
        <v>1</v>
      </c>
      <c r="H222" s="64">
        <v>45.7</v>
      </c>
      <c r="I222" s="64">
        <v>45.7</v>
      </c>
      <c r="J222" s="64">
        <v>2.4</v>
      </c>
      <c r="K222" s="64">
        <v>2.4</v>
      </c>
      <c r="L222" s="38"/>
      <c r="M222" s="80"/>
      <c r="N222" s="80"/>
      <c r="O222" s="80"/>
      <c r="P222" s="80"/>
      <c r="Q222" s="80"/>
    </row>
    <row r="223" s="76" customFormat="1" ht="24.95" customHeight="1" spans="1:17">
      <c r="A223" s="20">
        <v>217</v>
      </c>
      <c r="B223" s="38" t="s">
        <v>316</v>
      </c>
      <c r="C223" s="39" t="s">
        <v>323</v>
      </c>
      <c r="D223" s="39" t="s">
        <v>318</v>
      </c>
      <c r="E223" s="40">
        <v>3969.7</v>
      </c>
      <c r="F223" s="39" t="s">
        <v>319</v>
      </c>
      <c r="G223" s="46">
        <v>1</v>
      </c>
      <c r="H223" s="64">
        <v>45.7</v>
      </c>
      <c r="I223" s="64">
        <v>45.7</v>
      </c>
      <c r="J223" s="64">
        <v>2.4</v>
      </c>
      <c r="K223" s="64">
        <v>2.4</v>
      </c>
      <c r="L223" s="38"/>
      <c r="M223" s="80"/>
      <c r="N223" s="80"/>
      <c r="O223" s="80"/>
      <c r="P223" s="80"/>
      <c r="Q223" s="80"/>
    </row>
    <row r="224" s="76" customFormat="1" ht="24.95" customHeight="1" spans="1:17">
      <c r="A224" s="20">
        <v>218</v>
      </c>
      <c r="B224" s="38" t="s">
        <v>316</v>
      </c>
      <c r="C224" s="39" t="s">
        <v>324</v>
      </c>
      <c r="D224" s="39" t="s">
        <v>318</v>
      </c>
      <c r="E224" s="40">
        <v>3775.2</v>
      </c>
      <c r="F224" s="39" t="s">
        <v>319</v>
      </c>
      <c r="G224" s="46">
        <v>1</v>
      </c>
      <c r="H224" s="64">
        <v>43.7</v>
      </c>
      <c r="I224" s="64">
        <v>43.7</v>
      </c>
      <c r="J224" s="64">
        <v>2.29</v>
      </c>
      <c r="K224" s="64">
        <v>2.29</v>
      </c>
      <c r="L224" s="38"/>
      <c r="M224" s="80"/>
      <c r="N224" s="80"/>
      <c r="O224" s="80"/>
      <c r="P224" s="80"/>
      <c r="Q224" s="80"/>
    </row>
    <row r="225" s="76" customFormat="1" ht="24.95" customHeight="1" spans="1:17">
      <c r="A225" s="20">
        <v>219</v>
      </c>
      <c r="B225" s="38" t="s">
        <v>316</v>
      </c>
      <c r="C225" s="39" t="s">
        <v>325</v>
      </c>
      <c r="D225" s="39" t="s">
        <v>318</v>
      </c>
      <c r="E225" s="40">
        <v>3775.2</v>
      </c>
      <c r="F225" s="39" t="s">
        <v>319</v>
      </c>
      <c r="G225" s="46">
        <v>1</v>
      </c>
      <c r="H225" s="64">
        <v>43.7</v>
      </c>
      <c r="I225" s="64">
        <v>43.7</v>
      </c>
      <c r="J225" s="64">
        <v>2.29</v>
      </c>
      <c r="K225" s="64">
        <v>2.29</v>
      </c>
      <c r="L225" s="38"/>
      <c r="M225" s="80"/>
      <c r="N225" s="80"/>
      <c r="O225" s="80"/>
      <c r="P225" s="80"/>
      <c r="Q225" s="80"/>
    </row>
    <row r="226" s="76" customFormat="1" ht="24.95" customHeight="1" spans="1:17">
      <c r="A226" s="20">
        <v>220</v>
      </c>
      <c r="B226" s="38" t="s">
        <v>316</v>
      </c>
      <c r="C226" s="39" t="s">
        <v>326</v>
      </c>
      <c r="D226" s="39" t="s">
        <v>318</v>
      </c>
      <c r="E226" s="40">
        <v>3186</v>
      </c>
      <c r="F226" s="39" t="s">
        <v>319</v>
      </c>
      <c r="G226" s="46">
        <v>1</v>
      </c>
      <c r="H226" s="64">
        <v>35.4</v>
      </c>
      <c r="I226" s="64">
        <v>35.4</v>
      </c>
      <c r="J226" s="64">
        <v>1.85</v>
      </c>
      <c r="K226" s="64">
        <v>1.85</v>
      </c>
      <c r="L226" s="38"/>
      <c r="M226" s="80"/>
      <c r="N226" s="80"/>
      <c r="O226" s="80"/>
      <c r="P226" s="80"/>
      <c r="Q226" s="80"/>
    </row>
    <row r="227" s="76" customFormat="1" ht="24.95" customHeight="1" spans="1:17">
      <c r="A227" s="20">
        <v>221</v>
      </c>
      <c r="B227" s="38" t="s">
        <v>316</v>
      </c>
      <c r="C227" s="39" t="s">
        <v>327</v>
      </c>
      <c r="D227" s="39" t="s">
        <v>318</v>
      </c>
      <c r="E227" s="40">
        <v>3186</v>
      </c>
      <c r="F227" s="39" t="s">
        <v>319</v>
      </c>
      <c r="G227" s="46">
        <v>1</v>
      </c>
      <c r="H227" s="64">
        <v>35.4</v>
      </c>
      <c r="I227" s="64">
        <v>35.4</v>
      </c>
      <c r="J227" s="64">
        <v>1.85</v>
      </c>
      <c r="K227" s="64">
        <v>1.85</v>
      </c>
      <c r="L227" s="38"/>
      <c r="M227" s="80"/>
      <c r="N227" s="80"/>
      <c r="O227" s="80"/>
      <c r="P227" s="80"/>
      <c r="Q227" s="80"/>
    </row>
    <row r="228" s="76" customFormat="1" ht="24.95" customHeight="1" spans="1:17">
      <c r="A228" s="20">
        <v>222</v>
      </c>
      <c r="B228" s="38" t="s">
        <v>316</v>
      </c>
      <c r="C228" s="39" t="s">
        <v>328</v>
      </c>
      <c r="D228" s="39" t="s">
        <v>318</v>
      </c>
      <c r="E228" s="40">
        <v>3120.7</v>
      </c>
      <c r="F228" s="39" t="s">
        <v>319</v>
      </c>
      <c r="G228" s="46">
        <v>1</v>
      </c>
      <c r="H228" s="64">
        <v>35.1</v>
      </c>
      <c r="I228" s="64">
        <v>35.1</v>
      </c>
      <c r="J228" s="64">
        <v>1.83</v>
      </c>
      <c r="K228" s="64">
        <v>1.83</v>
      </c>
      <c r="L228" s="38"/>
      <c r="M228" s="80"/>
      <c r="N228" s="80"/>
      <c r="O228" s="80"/>
      <c r="P228" s="80"/>
      <c r="Q228" s="80"/>
    </row>
    <row r="229" s="76" customFormat="1" ht="24.95" customHeight="1" spans="1:17">
      <c r="A229" s="20">
        <v>223</v>
      </c>
      <c r="B229" s="38" t="s">
        <v>316</v>
      </c>
      <c r="C229" s="39" t="s">
        <v>329</v>
      </c>
      <c r="D229" s="39" t="s">
        <v>318</v>
      </c>
      <c r="E229" s="40">
        <v>3120.7</v>
      </c>
      <c r="F229" s="39" t="s">
        <v>319</v>
      </c>
      <c r="G229" s="46">
        <v>1</v>
      </c>
      <c r="H229" s="64">
        <v>35.1</v>
      </c>
      <c r="I229" s="64">
        <v>35.1</v>
      </c>
      <c r="J229" s="64">
        <v>1.83</v>
      </c>
      <c r="K229" s="64">
        <v>1.83</v>
      </c>
      <c r="L229" s="38"/>
      <c r="M229" s="80"/>
      <c r="N229" s="80"/>
      <c r="O229" s="80"/>
      <c r="P229" s="80"/>
      <c r="Q229" s="80"/>
    </row>
    <row r="230" s="76" customFormat="1" ht="24.95" customHeight="1" spans="1:17">
      <c r="A230" s="20">
        <v>224</v>
      </c>
      <c r="B230" s="38" t="s">
        <v>316</v>
      </c>
      <c r="C230" s="39" t="s">
        <v>330</v>
      </c>
      <c r="D230" s="39" t="s">
        <v>318</v>
      </c>
      <c r="E230" s="40">
        <v>3124.3</v>
      </c>
      <c r="F230" s="39" t="s">
        <v>319</v>
      </c>
      <c r="G230" s="46">
        <v>2</v>
      </c>
      <c r="H230" s="64">
        <v>35.1</v>
      </c>
      <c r="I230" s="64">
        <v>70.1</v>
      </c>
      <c r="J230" s="64">
        <v>1.84</v>
      </c>
      <c r="K230" s="64">
        <v>3.67</v>
      </c>
      <c r="L230" s="38"/>
      <c r="M230" s="80"/>
      <c r="N230" s="80"/>
      <c r="O230" s="80"/>
      <c r="P230" s="80"/>
      <c r="Q230" s="80"/>
    </row>
    <row r="231" s="76" customFormat="1" ht="24.95" customHeight="1" spans="1:17">
      <c r="A231" s="20">
        <v>225</v>
      </c>
      <c r="B231" s="38" t="s">
        <v>316</v>
      </c>
      <c r="C231" s="39" t="s">
        <v>331</v>
      </c>
      <c r="D231" s="39" t="s">
        <v>318</v>
      </c>
      <c r="E231" s="40">
        <v>3124.3</v>
      </c>
      <c r="F231" s="39" t="s">
        <v>319</v>
      </c>
      <c r="G231" s="46">
        <v>2</v>
      </c>
      <c r="H231" s="64">
        <v>35.1</v>
      </c>
      <c r="I231" s="64">
        <v>70.1</v>
      </c>
      <c r="J231" s="64">
        <v>1.84</v>
      </c>
      <c r="K231" s="64">
        <v>3.67</v>
      </c>
      <c r="L231" s="38"/>
      <c r="M231" s="80"/>
      <c r="N231" s="80"/>
      <c r="O231" s="80"/>
      <c r="P231" s="80"/>
      <c r="Q231" s="80"/>
    </row>
    <row r="232" s="76" customFormat="1" ht="24.95" customHeight="1" spans="1:17">
      <c r="A232" s="20">
        <v>226</v>
      </c>
      <c r="B232" s="38" t="s">
        <v>316</v>
      </c>
      <c r="C232" s="39" t="s">
        <v>332</v>
      </c>
      <c r="D232" s="39" t="s">
        <v>318</v>
      </c>
      <c r="E232" s="40">
        <v>4051</v>
      </c>
      <c r="F232" s="39" t="s">
        <v>319</v>
      </c>
      <c r="G232" s="46">
        <v>1</v>
      </c>
      <c r="H232" s="64">
        <v>46.2</v>
      </c>
      <c r="I232" s="64">
        <v>46.2</v>
      </c>
      <c r="J232" s="64">
        <v>2.42</v>
      </c>
      <c r="K232" s="64">
        <v>2.42</v>
      </c>
      <c r="L232" s="38"/>
      <c r="M232" s="80"/>
      <c r="N232" s="80"/>
      <c r="O232" s="80"/>
      <c r="P232" s="80"/>
      <c r="Q232" s="80"/>
    </row>
    <row r="233" s="76" customFormat="1" ht="24.95" customHeight="1" spans="1:17">
      <c r="A233" s="20">
        <v>227</v>
      </c>
      <c r="B233" s="38" t="s">
        <v>316</v>
      </c>
      <c r="C233" s="39" t="s">
        <v>333</v>
      </c>
      <c r="D233" s="39" t="s">
        <v>318</v>
      </c>
      <c r="E233" s="40">
        <v>4051</v>
      </c>
      <c r="F233" s="39" t="s">
        <v>319</v>
      </c>
      <c r="G233" s="46">
        <v>1</v>
      </c>
      <c r="H233" s="64">
        <v>46.2</v>
      </c>
      <c r="I233" s="64">
        <v>46.2</v>
      </c>
      <c r="J233" s="64">
        <v>2.42</v>
      </c>
      <c r="K233" s="64">
        <v>2.42</v>
      </c>
      <c r="L233" s="38"/>
      <c r="M233" s="80"/>
      <c r="N233" s="80"/>
      <c r="O233" s="80"/>
      <c r="P233" s="80"/>
      <c r="Q233" s="80"/>
    </row>
    <row r="234" s="76" customFormat="1" ht="24.95" customHeight="1" spans="1:17">
      <c r="A234" s="20">
        <v>228</v>
      </c>
      <c r="B234" s="38" t="s">
        <v>316</v>
      </c>
      <c r="C234" s="39" t="s">
        <v>334</v>
      </c>
      <c r="D234" s="39" t="s">
        <v>318</v>
      </c>
      <c r="E234" s="40">
        <v>3949.7</v>
      </c>
      <c r="F234" s="39" t="s">
        <v>319</v>
      </c>
      <c r="G234" s="46">
        <v>1</v>
      </c>
      <c r="H234" s="64">
        <v>44.7</v>
      </c>
      <c r="I234" s="64">
        <v>44.7</v>
      </c>
      <c r="J234" s="64">
        <v>2.34</v>
      </c>
      <c r="K234" s="64">
        <v>2.34</v>
      </c>
      <c r="L234" s="38"/>
      <c r="M234" s="80"/>
      <c r="N234" s="80"/>
      <c r="O234" s="80"/>
      <c r="P234" s="80"/>
      <c r="Q234" s="80"/>
    </row>
    <row r="235" s="76" customFormat="1" ht="24.95" customHeight="1" spans="1:17">
      <c r="A235" s="20">
        <v>229</v>
      </c>
      <c r="B235" s="38" t="s">
        <v>316</v>
      </c>
      <c r="C235" s="39" t="s">
        <v>335</v>
      </c>
      <c r="D235" s="39" t="s">
        <v>318</v>
      </c>
      <c r="E235" s="40">
        <v>3949.7</v>
      </c>
      <c r="F235" s="39" t="s">
        <v>319</v>
      </c>
      <c r="G235" s="46">
        <v>1</v>
      </c>
      <c r="H235" s="64">
        <v>44.7</v>
      </c>
      <c r="I235" s="64">
        <v>44.7</v>
      </c>
      <c r="J235" s="64">
        <v>2.34</v>
      </c>
      <c r="K235" s="64">
        <v>2.34</v>
      </c>
      <c r="L235" s="38"/>
      <c r="M235" s="80"/>
      <c r="N235" s="80"/>
      <c r="O235" s="80"/>
      <c r="P235" s="80"/>
      <c r="Q235" s="80"/>
    </row>
    <row r="236" s="76" customFormat="1" ht="24.95" customHeight="1" spans="1:17">
      <c r="A236" s="20">
        <v>230</v>
      </c>
      <c r="B236" s="38" t="s">
        <v>316</v>
      </c>
      <c r="C236" s="39" t="s">
        <v>336</v>
      </c>
      <c r="D236" s="39" t="s">
        <v>318</v>
      </c>
      <c r="E236" s="40">
        <v>3372.7</v>
      </c>
      <c r="F236" s="39" t="s">
        <v>319</v>
      </c>
      <c r="G236" s="46">
        <v>1</v>
      </c>
      <c r="H236" s="64">
        <v>36.4</v>
      </c>
      <c r="I236" s="64">
        <v>36.4</v>
      </c>
      <c r="J236" s="64">
        <v>1.91</v>
      </c>
      <c r="K236" s="64">
        <v>1.91</v>
      </c>
      <c r="L236" s="38"/>
      <c r="M236" s="80"/>
      <c r="N236" s="80"/>
      <c r="O236" s="80"/>
      <c r="P236" s="80"/>
      <c r="Q236" s="80"/>
    </row>
    <row r="237" s="76" customFormat="1" ht="24.95" customHeight="1" spans="1:17">
      <c r="A237" s="20">
        <v>231</v>
      </c>
      <c r="B237" s="38" t="s">
        <v>316</v>
      </c>
      <c r="C237" s="39" t="s">
        <v>337</v>
      </c>
      <c r="D237" s="39" t="s">
        <v>318</v>
      </c>
      <c r="E237" s="40">
        <v>3372.7</v>
      </c>
      <c r="F237" s="39" t="s">
        <v>319</v>
      </c>
      <c r="G237" s="46">
        <v>1</v>
      </c>
      <c r="H237" s="64">
        <v>36.4</v>
      </c>
      <c r="I237" s="64">
        <v>36.4</v>
      </c>
      <c r="J237" s="64">
        <v>1.91</v>
      </c>
      <c r="K237" s="64">
        <v>1.91</v>
      </c>
      <c r="L237" s="38"/>
      <c r="M237" s="80"/>
      <c r="N237" s="80"/>
      <c r="O237" s="80"/>
      <c r="P237" s="80"/>
      <c r="Q237" s="80"/>
    </row>
    <row r="238" s="76" customFormat="1" ht="24.95" customHeight="1" spans="1:17">
      <c r="A238" s="20">
        <v>232</v>
      </c>
      <c r="B238" s="38" t="s">
        <v>316</v>
      </c>
      <c r="C238" s="39" t="s">
        <v>338</v>
      </c>
      <c r="D238" s="39" t="s">
        <v>318</v>
      </c>
      <c r="E238" s="40">
        <v>3300.1</v>
      </c>
      <c r="F238" s="39" t="s">
        <v>319</v>
      </c>
      <c r="G238" s="46">
        <v>1</v>
      </c>
      <c r="H238" s="64">
        <v>36</v>
      </c>
      <c r="I238" s="64">
        <v>36</v>
      </c>
      <c r="J238" s="64">
        <v>1.89</v>
      </c>
      <c r="K238" s="64">
        <v>1.89</v>
      </c>
      <c r="L238" s="38"/>
      <c r="M238" s="80"/>
      <c r="N238" s="80"/>
      <c r="O238" s="80"/>
      <c r="P238" s="80"/>
      <c r="Q238" s="80"/>
    </row>
    <row r="239" s="76" customFormat="1" ht="24.95" customHeight="1" spans="1:17">
      <c r="A239" s="20">
        <v>233</v>
      </c>
      <c r="B239" s="38" t="s">
        <v>316</v>
      </c>
      <c r="C239" s="39" t="s">
        <v>339</v>
      </c>
      <c r="D239" s="39" t="s">
        <v>318</v>
      </c>
      <c r="E239" s="40">
        <v>3300.1</v>
      </c>
      <c r="F239" s="39" t="s">
        <v>319</v>
      </c>
      <c r="G239" s="46">
        <v>1</v>
      </c>
      <c r="H239" s="64">
        <v>36</v>
      </c>
      <c r="I239" s="64">
        <v>36</v>
      </c>
      <c r="J239" s="64">
        <v>1.89</v>
      </c>
      <c r="K239" s="64">
        <v>1.89</v>
      </c>
      <c r="L239" s="38"/>
      <c r="M239" s="80"/>
      <c r="N239" s="80"/>
      <c r="O239" s="80"/>
      <c r="P239" s="80"/>
      <c r="Q239" s="80"/>
    </row>
    <row r="240" s="76" customFormat="1" ht="24.95" customHeight="1" spans="1:17">
      <c r="A240" s="20">
        <v>234</v>
      </c>
      <c r="B240" s="38" t="s">
        <v>316</v>
      </c>
      <c r="C240" s="39" t="s">
        <v>340</v>
      </c>
      <c r="D240" s="39" t="s">
        <v>318</v>
      </c>
      <c r="E240" s="40">
        <v>3301.1</v>
      </c>
      <c r="F240" s="39" t="s">
        <v>319</v>
      </c>
      <c r="G240" s="46">
        <v>2</v>
      </c>
      <c r="H240" s="64">
        <v>36</v>
      </c>
      <c r="I240" s="64">
        <v>72</v>
      </c>
      <c r="J240" s="64">
        <v>1.89</v>
      </c>
      <c r="K240" s="64">
        <v>3.78</v>
      </c>
      <c r="L240" s="38"/>
      <c r="M240" s="80"/>
      <c r="N240" s="80"/>
      <c r="O240" s="80"/>
      <c r="P240" s="80"/>
      <c r="Q240" s="80"/>
    </row>
    <row r="241" s="76" customFormat="1" ht="24.95" customHeight="1" spans="1:17">
      <c r="A241" s="20">
        <v>235</v>
      </c>
      <c r="B241" s="38" t="s">
        <v>316</v>
      </c>
      <c r="C241" s="39" t="s">
        <v>341</v>
      </c>
      <c r="D241" s="39" t="s">
        <v>318</v>
      </c>
      <c r="E241" s="40">
        <v>3301.1</v>
      </c>
      <c r="F241" s="39" t="s">
        <v>319</v>
      </c>
      <c r="G241" s="46">
        <v>2</v>
      </c>
      <c r="H241" s="64">
        <v>36</v>
      </c>
      <c r="I241" s="64">
        <v>72</v>
      </c>
      <c r="J241" s="64">
        <v>1.89</v>
      </c>
      <c r="K241" s="64">
        <v>3.78</v>
      </c>
      <c r="L241" s="38"/>
      <c r="M241" s="80"/>
      <c r="N241" s="80"/>
      <c r="O241" s="80"/>
      <c r="P241" s="80"/>
      <c r="Q241" s="80"/>
    </row>
    <row r="242" s="76" customFormat="1" ht="24.95" customHeight="1" spans="1:17">
      <c r="A242" s="20">
        <v>236</v>
      </c>
      <c r="B242" s="38" t="s">
        <v>316</v>
      </c>
      <c r="C242" s="39" t="s">
        <v>342</v>
      </c>
      <c r="D242" s="39" t="s">
        <v>318</v>
      </c>
      <c r="E242" s="40">
        <v>940</v>
      </c>
      <c r="F242" s="39" t="s">
        <v>319</v>
      </c>
      <c r="G242" s="46">
        <v>13</v>
      </c>
      <c r="H242" s="64">
        <v>17.2</v>
      </c>
      <c r="I242" s="64">
        <v>223.3</v>
      </c>
      <c r="J242" s="64">
        <v>0.87</v>
      </c>
      <c r="K242" s="64">
        <v>11.33</v>
      </c>
      <c r="L242" s="38"/>
      <c r="M242" s="80"/>
      <c r="N242" s="80"/>
      <c r="O242" s="80"/>
      <c r="P242" s="80"/>
      <c r="Q242" s="80"/>
    </row>
    <row r="243" s="76" customFormat="1" ht="24.95" customHeight="1" spans="1:17">
      <c r="A243" s="20">
        <v>237</v>
      </c>
      <c r="B243" s="38" t="s">
        <v>316</v>
      </c>
      <c r="C243" s="39" t="s">
        <v>343</v>
      </c>
      <c r="D243" s="39" t="s">
        <v>318</v>
      </c>
      <c r="E243" s="40">
        <v>2465.5</v>
      </c>
      <c r="F243" s="39" t="s">
        <v>319</v>
      </c>
      <c r="G243" s="46">
        <v>1</v>
      </c>
      <c r="H243" s="64">
        <v>33.5</v>
      </c>
      <c r="I243" s="64">
        <v>33.5</v>
      </c>
      <c r="J243" s="64">
        <v>1.75</v>
      </c>
      <c r="K243" s="64">
        <v>1.75</v>
      </c>
      <c r="L243" s="38"/>
      <c r="M243" s="80"/>
      <c r="N243" s="80"/>
      <c r="O243" s="80"/>
      <c r="P243" s="80"/>
      <c r="Q243" s="80"/>
    </row>
    <row r="244" s="76" customFormat="1" ht="24.95" customHeight="1" spans="1:17">
      <c r="A244" s="20">
        <v>238</v>
      </c>
      <c r="B244" s="38" t="s">
        <v>316</v>
      </c>
      <c r="C244" s="39" t="s">
        <v>344</v>
      </c>
      <c r="D244" s="39" t="s">
        <v>318</v>
      </c>
      <c r="E244" s="40">
        <v>2465.5</v>
      </c>
      <c r="F244" s="39" t="s">
        <v>319</v>
      </c>
      <c r="G244" s="46">
        <v>6</v>
      </c>
      <c r="H244" s="64">
        <v>31.6</v>
      </c>
      <c r="I244" s="64">
        <v>189.7</v>
      </c>
      <c r="J244" s="64">
        <v>1.66</v>
      </c>
      <c r="K244" s="64">
        <v>9.96</v>
      </c>
      <c r="L244" s="38"/>
      <c r="M244" s="80"/>
      <c r="N244" s="80"/>
      <c r="O244" s="80"/>
      <c r="P244" s="80"/>
      <c r="Q244" s="80"/>
    </row>
    <row r="245" s="76" customFormat="1" ht="24.95" customHeight="1" spans="1:17">
      <c r="A245" s="20">
        <v>239</v>
      </c>
      <c r="B245" s="38" t="s">
        <v>316</v>
      </c>
      <c r="C245" s="39" t="s">
        <v>345</v>
      </c>
      <c r="D245" s="39" t="s">
        <v>318</v>
      </c>
      <c r="E245" s="40">
        <v>1915</v>
      </c>
      <c r="F245" s="39" t="s">
        <v>319</v>
      </c>
      <c r="G245" s="46">
        <v>2</v>
      </c>
      <c r="H245" s="64">
        <v>26.9</v>
      </c>
      <c r="I245" s="64">
        <v>53.7</v>
      </c>
      <c r="J245" s="64">
        <v>1.4</v>
      </c>
      <c r="K245" s="64">
        <v>2.79</v>
      </c>
      <c r="L245" s="38"/>
      <c r="M245" s="80"/>
      <c r="N245" s="80"/>
      <c r="O245" s="80"/>
      <c r="P245" s="80"/>
      <c r="Q245" s="80"/>
    </row>
    <row r="246" s="76" customFormat="1" ht="24.95" customHeight="1" spans="1:17">
      <c r="A246" s="20">
        <v>240</v>
      </c>
      <c r="B246" s="38" t="s">
        <v>316</v>
      </c>
      <c r="C246" s="39" t="s">
        <v>346</v>
      </c>
      <c r="D246" s="39" t="s">
        <v>318</v>
      </c>
      <c r="E246" s="40">
        <v>2175</v>
      </c>
      <c r="F246" s="39" t="s">
        <v>319</v>
      </c>
      <c r="G246" s="46">
        <v>2</v>
      </c>
      <c r="H246" s="64">
        <v>29.1</v>
      </c>
      <c r="I246" s="64">
        <v>58.2</v>
      </c>
      <c r="J246" s="64">
        <v>1.52</v>
      </c>
      <c r="K246" s="64">
        <v>3.04</v>
      </c>
      <c r="L246" s="38"/>
      <c r="M246" s="80"/>
      <c r="N246" s="80"/>
      <c r="O246" s="80"/>
      <c r="P246" s="80"/>
      <c r="Q246" s="80"/>
    </row>
    <row r="247" s="76" customFormat="1" ht="24.95" customHeight="1" spans="1:17">
      <c r="A247" s="20">
        <v>241</v>
      </c>
      <c r="B247" s="38" t="s">
        <v>316</v>
      </c>
      <c r="C247" s="39" t="s">
        <v>347</v>
      </c>
      <c r="D247" s="39" t="s">
        <v>318</v>
      </c>
      <c r="E247" s="40">
        <v>2715</v>
      </c>
      <c r="F247" s="39" t="s">
        <v>319</v>
      </c>
      <c r="G247" s="46">
        <v>8</v>
      </c>
      <c r="H247" s="64">
        <v>33.8</v>
      </c>
      <c r="I247" s="64">
        <v>270.2</v>
      </c>
      <c r="J247" s="64">
        <v>1.78</v>
      </c>
      <c r="K247" s="64">
        <v>14.24</v>
      </c>
      <c r="L247" s="38"/>
      <c r="M247" s="80"/>
      <c r="N247" s="80"/>
      <c r="O247" s="80"/>
      <c r="P247" s="80"/>
      <c r="Q247" s="80"/>
    </row>
    <row r="248" s="76" customFormat="1" ht="24.95" customHeight="1" spans="1:17">
      <c r="A248" s="20">
        <v>242</v>
      </c>
      <c r="B248" s="38" t="s">
        <v>316</v>
      </c>
      <c r="C248" s="39" t="s">
        <v>348</v>
      </c>
      <c r="D248" s="39" t="s">
        <v>318</v>
      </c>
      <c r="E248" s="40">
        <v>1388</v>
      </c>
      <c r="F248" s="39" t="s">
        <v>319</v>
      </c>
      <c r="G248" s="46">
        <v>1</v>
      </c>
      <c r="H248" s="64">
        <v>21</v>
      </c>
      <c r="I248" s="64">
        <v>21</v>
      </c>
      <c r="J248" s="64">
        <v>1.09</v>
      </c>
      <c r="K248" s="64">
        <v>1.09</v>
      </c>
      <c r="L248" s="38"/>
      <c r="M248" s="80"/>
      <c r="N248" s="80"/>
      <c r="O248" s="80"/>
      <c r="P248" s="80"/>
      <c r="Q248" s="80"/>
    </row>
    <row r="249" s="76" customFormat="1" ht="24.95" customHeight="1" spans="1:17">
      <c r="A249" s="20">
        <v>243</v>
      </c>
      <c r="B249" s="38" t="s">
        <v>316</v>
      </c>
      <c r="C249" s="39" t="s">
        <v>349</v>
      </c>
      <c r="D249" s="39" t="s">
        <v>318</v>
      </c>
      <c r="E249" s="40">
        <v>1653.6</v>
      </c>
      <c r="F249" s="39" t="s">
        <v>319</v>
      </c>
      <c r="G249" s="46">
        <v>4</v>
      </c>
      <c r="H249" s="64">
        <v>17.1</v>
      </c>
      <c r="I249" s="64">
        <v>68.5</v>
      </c>
      <c r="J249" s="64">
        <v>0.88</v>
      </c>
      <c r="K249" s="64">
        <v>3.52</v>
      </c>
      <c r="L249" s="38"/>
      <c r="M249" s="80"/>
      <c r="N249" s="80"/>
      <c r="O249" s="80"/>
      <c r="P249" s="80"/>
      <c r="Q249" s="80"/>
    </row>
    <row r="250" s="76" customFormat="1" ht="24.95" customHeight="1" spans="1:17">
      <c r="A250" s="20">
        <v>244</v>
      </c>
      <c r="B250" s="38" t="s">
        <v>316</v>
      </c>
      <c r="C250" s="39" t="s">
        <v>350</v>
      </c>
      <c r="D250" s="39" t="s">
        <v>318</v>
      </c>
      <c r="E250" s="40">
        <v>3262.2</v>
      </c>
      <c r="F250" s="39" t="s">
        <v>319</v>
      </c>
      <c r="G250" s="46">
        <v>4</v>
      </c>
      <c r="H250" s="64">
        <v>25.2</v>
      </c>
      <c r="I250" s="64">
        <v>100.8</v>
      </c>
      <c r="J250" s="64">
        <v>1.31</v>
      </c>
      <c r="K250" s="64">
        <v>5.23</v>
      </c>
      <c r="L250" s="38"/>
      <c r="M250" s="80"/>
      <c r="N250" s="80"/>
      <c r="O250" s="80"/>
      <c r="P250" s="80"/>
      <c r="Q250" s="80"/>
    </row>
    <row r="251" s="76" customFormat="1" ht="24.95" customHeight="1" spans="1:17">
      <c r="A251" s="20">
        <v>245</v>
      </c>
      <c r="B251" s="38" t="s">
        <v>316</v>
      </c>
      <c r="C251" s="39" t="s">
        <v>351</v>
      </c>
      <c r="D251" s="39" t="s">
        <v>318</v>
      </c>
      <c r="E251" s="40">
        <v>3251.4</v>
      </c>
      <c r="F251" s="39" t="s">
        <v>319</v>
      </c>
      <c r="G251" s="46">
        <v>4</v>
      </c>
      <c r="H251" s="64">
        <v>25.1</v>
      </c>
      <c r="I251" s="64">
        <v>100.6</v>
      </c>
      <c r="J251" s="64">
        <v>1.31</v>
      </c>
      <c r="K251" s="64">
        <v>5.22</v>
      </c>
      <c r="L251" s="38"/>
      <c r="M251" s="80"/>
      <c r="N251" s="80"/>
      <c r="O251" s="80"/>
      <c r="P251" s="80"/>
      <c r="Q251" s="80"/>
    </row>
    <row r="252" s="76" customFormat="1" ht="24.95" customHeight="1" spans="1:17">
      <c r="A252" s="20">
        <v>246</v>
      </c>
      <c r="B252" s="38" t="s">
        <v>316</v>
      </c>
      <c r="C252" s="39" t="s">
        <v>352</v>
      </c>
      <c r="D252" s="39" t="s">
        <v>318</v>
      </c>
      <c r="E252" s="40">
        <v>3181.9</v>
      </c>
      <c r="F252" s="39" t="s">
        <v>319</v>
      </c>
      <c r="G252" s="46">
        <v>4</v>
      </c>
      <c r="H252" s="64">
        <v>24.9</v>
      </c>
      <c r="I252" s="64">
        <v>99.8</v>
      </c>
      <c r="J252" s="64">
        <v>1.29</v>
      </c>
      <c r="K252" s="64">
        <v>5.18</v>
      </c>
      <c r="L252" s="38"/>
      <c r="M252" s="80"/>
      <c r="N252" s="80"/>
      <c r="O252" s="80"/>
      <c r="P252" s="80"/>
      <c r="Q252" s="80"/>
    </row>
    <row r="253" s="76" customFormat="1" ht="24.95" customHeight="1" spans="1:17">
      <c r="A253" s="20">
        <v>247</v>
      </c>
      <c r="B253" s="38" t="s">
        <v>316</v>
      </c>
      <c r="C253" s="39" t="s">
        <v>353</v>
      </c>
      <c r="D253" s="39" t="s">
        <v>318</v>
      </c>
      <c r="E253" s="40">
        <v>3189.2</v>
      </c>
      <c r="F253" s="39" t="s">
        <v>319</v>
      </c>
      <c r="G253" s="46">
        <v>4</v>
      </c>
      <c r="H253" s="64">
        <v>25</v>
      </c>
      <c r="I253" s="64">
        <v>99.9</v>
      </c>
      <c r="J253" s="64">
        <v>1.3</v>
      </c>
      <c r="K253" s="64">
        <v>5.18</v>
      </c>
      <c r="L253" s="38"/>
      <c r="M253" s="80"/>
      <c r="N253" s="80"/>
      <c r="O253" s="80"/>
      <c r="P253" s="80"/>
      <c r="Q253" s="80"/>
    </row>
    <row r="254" s="76" customFormat="1" ht="24.95" customHeight="1" spans="1:17">
      <c r="A254" s="20">
        <v>248</v>
      </c>
      <c r="B254" s="38" t="s">
        <v>316</v>
      </c>
      <c r="C254" s="39" t="s">
        <v>354</v>
      </c>
      <c r="D254" s="39" t="s">
        <v>318</v>
      </c>
      <c r="E254" s="40">
        <v>2318.5</v>
      </c>
      <c r="F254" s="39" t="s">
        <v>319</v>
      </c>
      <c r="G254" s="46">
        <v>12</v>
      </c>
      <c r="H254" s="64">
        <v>20.3</v>
      </c>
      <c r="I254" s="64">
        <v>243.1</v>
      </c>
      <c r="J254" s="64">
        <v>1.06</v>
      </c>
      <c r="K254" s="64">
        <v>12.69</v>
      </c>
      <c r="L254" s="38"/>
      <c r="M254" s="80"/>
      <c r="N254" s="80"/>
      <c r="O254" s="80"/>
      <c r="P254" s="80"/>
      <c r="Q254" s="80"/>
    </row>
    <row r="255" s="76" customFormat="1" ht="24.95" customHeight="1" spans="1:17">
      <c r="A255" s="20">
        <v>249</v>
      </c>
      <c r="B255" s="38" t="s">
        <v>316</v>
      </c>
      <c r="C255" s="39" t="s">
        <v>355</v>
      </c>
      <c r="D255" s="39" t="s">
        <v>318</v>
      </c>
      <c r="E255" s="40">
        <v>5977.5</v>
      </c>
      <c r="F255" s="39" t="s">
        <v>319</v>
      </c>
      <c r="G255" s="46">
        <v>3</v>
      </c>
      <c r="H255" s="64">
        <v>46.7</v>
      </c>
      <c r="I255" s="64">
        <v>140.1</v>
      </c>
      <c r="J255" s="64">
        <v>2.46</v>
      </c>
      <c r="K255" s="64">
        <v>7.38</v>
      </c>
      <c r="L255" s="38"/>
      <c r="M255" s="80"/>
      <c r="N255" s="80"/>
      <c r="O255" s="80"/>
      <c r="P255" s="80"/>
      <c r="Q255" s="80"/>
    </row>
    <row r="256" s="76" customFormat="1" ht="24.95" customHeight="1" spans="1:17">
      <c r="A256" s="20">
        <v>250</v>
      </c>
      <c r="B256" s="38" t="s">
        <v>316</v>
      </c>
      <c r="C256" s="39" t="s">
        <v>356</v>
      </c>
      <c r="D256" s="39" t="s">
        <v>318</v>
      </c>
      <c r="E256" s="40">
        <v>6118.5</v>
      </c>
      <c r="F256" s="39" t="s">
        <v>319</v>
      </c>
      <c r="G256" s="46">
        <v>1</v>
      </c>
      <c r="H256" s="64">
        <v>47.3</v>
      </c>
      <c r="I256" s="64">
        <v>47.3</v>
      </c>
      <c r="J256" s="64">
        <v>2.5</v>
      </c>
      <c r="K256" s="64">
        <v>2.5</v>
      </c>
      <c r="L256" s="38"/>
      <c r="M256" s="80"/>
      <c r="N256" s="80"/>
      <c r="O256" s="80"/>
      <c r="P256" s="80"/>
      <c r="Q256" s="80"/>
    </row>
    <row r="257" s="76" customFormat="1" ht="24.95" customHeight="1" spans="1:17">
      <c r="A257" s="20">
        <v>251</v>
      </c>
      <c r="B257" s="38" t="s">
        <v>316</v>
      </c>
      <c r="C257" s="39" t="s">
        <v>357</v>
      </c>
      <c r="D257" s="39" t="s">
        <v>318</v>
      </c>
      <c r="E257" s="40">
        <v>6348.4</v>
      </c>
      <c r="F257" s="39" t="s">
        <v>319</v>
      </c>
      <c r="G257" s="46">
        <v>1</v>
      </c>
      <c r="H257" s="64">
        <v>44.6</v>
      </c>
      <c r="I257" s="64">
        <v>44.6</v>
      </c>
      <c r="J257" s="64">
        <v>2.39</v>
      </c>
      <c r="K257" s="64">
        <v>2.39</v>
      </c>
      <c r="L257" s="38"/>
      <c r="M257" s="80"/>
      <c r="N257" s="80"/>
      <c r="O257" s="80"/>
      <c r="P257" s="80"/>
      <c r="Q257" s="80"/>
    </row>
    <row r="258" s="76" customFormat="1" ht="24.95" customHeight="1" spans="1:17">
      <c r="A258" s="20">
        <v>252</v>
      </c>
      <c r="B258" s="38" t="s">
        <v>316</v>
      </c>
      <c r="C258" s="39" t="s">
        <v>358</v>
      </c>
      <c r="D258" s="39" t="s">
        <v>318</v>
      </c>
      <c r="E258" s="40">
        <v>3214.7</v>
      </c>
      <c r="F258" s="39" t="s">
        <v>319</v>
      </c>
      <c r="G258" s="46">
        <v>32</v>
      </c>
      <c r="H258" s="64">
        <v>25</v>
      </c>
      <c r="I258" s="64">
        <v>801.4</v>
      </c>
      <c r="J258" s="64">
        <v>1.3</v>
      </c>
      <c r="K258" s="64">
        <v>41.59</v>
      </c>
      <c r="L258" s="38"/>
      <c r="M258" s="80"/>
      <c r="N258" s="80"/>
      <c r="O258" s="80"/>
      <c r="P258" s="80"/>
      <c r="Q258" s="80"/>
    </row>
    <row r="259" s="76" customFormat="1" ht="24.95" customHeight="1" spans="1:17">
      <c r="A259" s="20">
        <v>253</v>
      </c>
      <c r="B259" s="38" t="s">
        <v>316</v>
      </c>
      <c r="C259" s="39" t="s">
        <v>359</v>
      </c>
      <c r="D259" s="39" t="s">
        <v>318</v>
      </c>
      <c r="E259" s="40">
        <v>3927.8</v>
      </c>
      <c r="F259" s="39" t="s">
        <v>319</v>
      </c>
      <c r="G259" s="46">
        <v>8</v>
      </c>
      <c r="H259" s="64">
        <v>28.3</v>
      </c>
      <c r="I259" s="64">
        <v>226.1</v>
      </c>
      <c r="J259" s="64">
        <v>1.48</v>
      </c>
      <c r="K259" s="64">
        <v>11.86</v>
      </c>
      <c r="L259" s="38"/>
      <c r="M259" s="80"/>
      <c r="N259" s="80"/>
      <c r="O259" s="80"/>
      <c r="P259" s="80"/>
      <c r="Q259" s="80"/>
    </row>
    <row r="260" s="76" customFormat="1" ht="24.95" customHeight="1" spans="1:17">
      <c r="A260" s="20">
        <v>254</v>
      </c>
      <c r="B260" s="38" t="s">
        <v>316</v>
      </c>
      <c r="C260" s="39" t="s">
        <v>360</v>
      </c>
      <c r="D260" s="39" t="s">
        <v>318</v>
      </c>
      <c r="E260" s="40">
        <v>1653.6</v>
      </c>
      <c r="F260" s="39" t="s">
        <v>319</v>
      </c>
      <c r="G260" s="46">
        <v>20</v>
      </c>
      <c r="H260" s="64">
        <v>16.7</v>
      </c>
      <c r="I260" s="64">
        <v>333.3</v>
      </c>
      <c r="J260" s="64">
        <v>0.86</v>
      </c>
      <c r="K260" s="64">
        <v>17.14</v>
      </c>
      <c r="L260" s="38"/>
      <c r="M260" s="80"/>
      <c r="N260" s="80"/>
      <c r="O260" s="80"/>
      <c r="P260" s="80"/>
      <c r="Q260" s="80"/>
    </row>
    <row r="261" s="76" customFormat="1" ht="24.95" customHeight="1" spans="1:17">
      <c r="A261" s="20">
        <v>255</v>
      </c>
      <c r="B261" s="38" t="s">
        <v>316</v>
      </c>
      <c r="C261" s="39" t="s">
        <v>361</v>
      </c>
      <c r="D261" s="39" t="s">
        <v>318</v>
      </c>
      <c r="E261" s="40">
        <v>1113.5</v>
      </c>
      <c r="F261" s="39" t="s">
        <v>319</v>
      </c>
      <c r="G261" s="46">
        <v>4</v>
      </c>
      <c r="H261" s="64">
        <v>14.6</v>
      </c>
      <c r="I261" s="64">
        <v>58.4</v>
      </c>
      <c r="J261" s="64">
        <v>0.73</v>
      </c>
      <c r="K261" s="64">
        <v>2.94</v>
      </c>
      <c r="L261" s="38"/>
      <c r="M261" s="80"/>
      <c r="N261" s="80"/>
      <c r="O261" s="80"/>
      <c r="P261" s="80"/>
      <c r="Q261" s="80"/>
    </row>
    <row r="262" s="76" customFormat="1" ht="24.95" customHeight="1" spans="1:17">
      <c r="A262" s="20">
        <v>256</v>
      </c>
      <c r="B262" s="38" t="s">
        <v>316</v>
      </c>
      <c r="C262" s="39" t="s">
        <v>362</v>
      </c>
      <c r="D262" s="39" t="s">
        <v>318</v>
      </c>
      <c r="E262" s="40">
        <v>2802</v>
      </c>
      <c r="F262" s="39" t="s">
        <v>319</v>
      </c>
      <c r="G262" s="46">
        <v>2</v>
      </c>
      <c r="H262" s="64">
        <v>23.8</v>
      </c>
      <c r="I262" s="64">
        <v>47.7</v>
      </c>
      <c r="J262" s="64">
        <v>1.25</v>
      </c>
      <c r="K262" s="64">
        <v>2.5</v>
      </c>
      <c r="L262" s="38"/>
      <c r="M262" s="80"/>
      <c r="N262" s="80"/>
      <c r="O262" s="80"/>
      <c r="P262" s="80"/>
      <c r="Q262" s="80"/>
    </row>
    <row r="263" s="76" customFormat="1" ht="24.95" customHeight="1" spans="1:17">
      <c r="A263" s="20">
        <v>257</v>
      </c>
      <c r="B263" s="38" t="s">
        <v>316</v>
      </c>
      <c r="C263" s="39" t="s">
        <v>363</v>
      </c>
      <c r="D263" s="39" t="s">
        <v>318</v>
      </c>
      <c r="E263" s="40">
        <v>1389.5</v>
      </c>
      <c r="F263" s="39" t="s">
        <v>319</v>
      </c>
      <c r="G263" s="46">
        <v>2</v>
      </c>
      <c r="H263" s="64">
        <v>17.2</v>
      </c>
      <c r="I263" s="64">
        <v>34.4</v>
      </c>
      <c r="J263" s="64">
        <v>0.87</v>
      </c>
      <c r="K263" s="64">
        <v>1.74</v>
      </c>
      <c r="L263" s="38"/>
      <c r="M263" s="80"/>
      <c r="N263" s="80"/>
      <c r="O263" s="80"/>
      <c r="P263" s="80"/>
      <c r="Q263" s="80"/>
    </row>
    <row r="264" s="76" customFormat="1" ht="24.95" customHeight="1" spans="1:17">
      <c r="A264" s="20">
        <v>258</v>
      </c>
      <c r="B264" s="38" t="s">
        <v>316</v>
      </c>
      <c r="C264" s="39" t="s">
        <v>364</v>
      </c>
      <c r="D264" s="39" t="s">
        <v>318</v>
      </c>
      <c r="E264" s="40">
        <v>2437.5</v>
      </c>
      <c r="F264" s="39" t="s">
        <v>319</v>
      </c>
      <c r="G264" s="46">
        <v>2</v>
      </c>
      <c r="H264" s="64">
        <v>22.1</v>
      </c>
      <c r="I264" s="64">
        <v>44.2</v>
      </c>
      <c r="J264" s="64">
        <v>1.15</v>
      </c>
      <c r="K264" s="64">
        <v>2.3</v>
      </c>
      <c r="L264" s="38"/>
      <c r="M264" s="80"/>
      <c r="N264" s="80"/>
      <c r="O264" s="80"/>
      <c r="P264" s="80"/>
      <c r="Q264" s="80"/>
    </row>
    <row r="265" s="76" customFormat="1" ht="24.95" customHeight="1" spans="1:17">
      <c r="A265" s="20">
        <v>259</v>
      </c>
      <c r="B265" s="38" t="s">
        <v>316</v>
      </c>
      <c r="C265" s="39" t="s">
        <v>365</v>
      </c>
      <c r="D265" s="39" t="s">
        <v>318</v>
      </c>
      <c r="E265" s="40">
        <v>6179.2</v>
      </c>
      <c r="F265" s="39" t="s">
        <v>319</v>
      </c>
      <c r="G265" s="46">
        <v>28</v>
      </c>
      <c r="H265" s="64">
        <v>44</v>
      </c>
      <c r="I265" s="64">
        <v>1230.8</v>
      </c>
      <c r="J265" s="64">
        <v>2.34</v>
      </c>
      <c r="K265" s="64">
        <v>65.6</v>
      </c>
      <c r="L265" s="38"/>
      <c r="M265" s="80"/>
      <c r="N265" s="80"/>
      <c r="O265" s="80"/>
      <c r="P265" s="80"/>
      <c r="Q265" s="80"/>
    </row>
    <row r="266" s="76" customFormat="1" ht="24.95" customHeight="1" spans="1:17">
      <c r="A266" s="20">
        <v>260</v>
      </c>
      <c r="B266" s="38" t="s">
        <v>316</v>
      </c>
      <c r="C266" s="39" t="s">
        <v>366</v>
      </c>
      <c r="D266" s="39" t="s">
        <v>318</v>
      </c>
      <c r="E266" s="40">
        <v>6053.7</v>
      </c>
      <c r="F266" s="39" t="s">
        <v>319</v>
      </c>
      <c r="G266" s="46">
        <v>1</v>
      </c>
      <c r="H266" s="64">
        <v>43.4</v>
      </c>
      <c r="I266" s="64">
        <v>43.4</v>
      </c>
      <c r="J266" s="64">
        <v>2.31</v>
      </c>
      <c r="K266" s="64">
        <v>2.31</v>
      </c>
      <c r="L266" s="38"/>
      <c r="M266" s="80"/>
      <c r="N266" s="80"/>
      <c r="O266" s="80"/>
      <c r="P266" s="80"/>
      <c r="Q266" s="80"/>
    </row>
    <row r="267" s="76" customFormat="1" ht="24.95" customHeight="1" spans="1:17">
      <c r="A267" s="20">
        <v>261</v>
      </c>
      <c r="B267" s="38" t="s">
        <v>316</v>
      </c>
      <c r="C267" s="39" t="s">
        <v>367</v>
      </c>
      <c r="D267" s="39" t="s">
        <v>318</v>
      </c>
      <c r="E267" s="40">
        <v>6053.7</v>
      </c>
      <c r="F267" s="39" t="s">
        <v>319</v>
      </c>
      <c r="G267" s="46">
        <v>1</v>
      </c>
      <c r="H267" s="64">
        <v>43.4</v>
      </c>
      <c r="I267" s="64">
        <v>43.4</v>
      </c>
      <c r="J267" s="64">
        <v>2.31</v>
      </c>
      <c r="K267" s="64">
        <v>2.31</v>
      </c>
      <c r="L267" s="38"/>
      <c r="M267" s="80"/>
      <c r="N267" s="80"/>
      <c r="O267" s="80"/>
      <c r="P267" s="80"/>
      <c r="Q267" s="80"/>
    </row>
    <row r="268" s="76" customFormat="1" ht="24.95" customHeight="1" spans="1:17">
      <c r="A268" s="20">
        <v>262</v>
      </c>
      <c r="B268" s="38" t="s">
        <v>316</v>
      </c>
      <c r="C268" s="39" t="s">
        <v>368</v>
      </c>
      <c r="D268" s="39" t="s">
        <v>318</v>
      </c>
      <c r="E268" s="40">
        <v>723.5</v>
      </c>
      <c r="F268" s="39" t="s">
        <v>319</v>
      </c>
      <c r="G268" s="46">
        <v>4</v>
      </c>
      <c r="H268" s="64">
        <v>6.4</v>
      </c>
      <c r="I268" s="64">
        <v>25.7</v>
      </c>
      <c r="J268" s="64">
        <v>0.33</v>
      </c>
      <c r="K268" s="64">
        <v>1.34</v>
      </c>
      <c r="L268" s="38"/>
      <c r="M268" s="80"/>
      <c r="N268" s="80"/>
      <c r="O268" s="80"/>
      <c r="P268" s="80"/>
      <c r="Q268" s="80"/>
    </row>
    <row r="269" s="76" customFormat="1" ht="24.95" customHeight="1" spans="1:17">
      <c r="A269" s="20">
        <v>263</v>
      </c>
      <c r="B269" s="38" t="s">
        <v>316</v>
      </c>
      <c r="C269" s="39" t="s">
        <v>369</v>
      </c>
      <c r="D269" s="39" t="s">
        <v>318</v>
      </c>
      <c r="E269" s="40">
        <v>6348.4</v>
      </c>
      <c r="F269" s="39" t="s">
        <v>319</v>
      </c>
      <c r="G269" s="46">
        <v>1</v>
      </c>
      <c r="H269" s="64">
        <v>44.6</v>
      </c>
      <c r="I269" s="64">
        <v>44.6</v>
      </c>
      <c r="J269" s="64">
        <v>2.39</v>
      </c>
      <c r="K269" s="64">
        <v>2.39</v>
      </c>
      <c r="L269" s="38"/>
      <c r="M269" s="80"/>
      <c r="N269" s="80"/>
      <c r="O269" s="80"/>
      <c r="P269" s="80"/>
      <c r="Q269" s="80"/>
    </row>
    <row r="270" s="76" customFormat="1" ht="24.95" customHeight="1" spans="1:17">
      <c r="A270" s="20">
        <v>264</v>
      </c>
      <c r="B270" s="38" t="s">
        <v>316</v>
      </c>
      <c r="C270" s="39" t="s">
        <v>370</v>
      </c>
      <c r="D270" s="39" t="s">
        <v>318</v>
      </c>
      <c r="E270" s="40">
        <v>2447</v>
      </c>
      <c r="F270" s="39" t="s">
        <v>319</v>
      </c>
      <c r="G270" s="46">
        <v>26</v>
      </c>
      <c r="H270" s="64">
        <v>20.8</v>
      </c>
      <c r="I270" s="64">
        <v>539.7</v>
      </c>
      <c r="J270" s="64">
        <v>1.09</v>
      </c>
      <c r="K270" s="64">
        <v>28.28</v>
      </c>
      <c r="L270" s="38"/>
      <c r="M270" s="80"/>
      <c r="N270" s="80"/>
      <c r="O270" s="80"/>
      <c r="P270" s="80"/>
      <c r="Q270" s="80"/>
    </row>
    <row r="271" s="76" customFormat="1" ht="24.95" customHeight="1" spans="1:17">
      <c r="A271" s="20">
        <v>265</v>
      </c>
      <c r="B271" s="38" t="s">
        <v>371</v>
      </c>
      <c r="C271" s="39" t="s">
        <v>372</v>
      </c>
      <c r="D271" s="39" t="s">
        <v>371</v>
      </c>
      <c r="E271" s="40">
        <v>2764.5</v>
      </c>
      <c r="F271" s="39" t="s">
        <v>373</v>
      </c>
      <c r="G271" s="46">
        <v>2</v>
      </c>
      <c r="H271" s="64">
        <v>175.9</v>
      </c>
      <c r="I271" s="64">
        <v>351.7</v>
      </c>
      <c r="J271" s="64">
        <v>8.83</v>
      </c>
      <c r="K271" s="64">
        <v>17.67</v>
      </c>
      <c r="L271" s="38"/>
      <c r="M271" s="80"/>
      <c r="N271" s="80"/>
      <c r="O271" s="80"/>
      <c r="P271" s="80"/>
      <c r="Q271" s="80"/>
    </row>
    <row r="272" s="76" customFormat="1" ht="24.95" customHeight="1" spans="1:17">
      <c r="A272" s="20">
        <v>266</v>
      </c>
      <c r="B272" s="38" t="s">
        <v>371</v>
      </c>
      <c r="C272" s="39" t="s">
        <v>374</v>
      </c>
      <c r="D272" s="39" t="s">
        <v>371</v>
      </c>
      <c r="E272" s="40">
        <v>2764.5</v>
      </c>
      <c r="F272" s="39" t="s">
        <v>373</v>
      </c>
      <c r="G272" s="46">
        <v>5</v>
      </c>
      <c r="H272" s="64">
        <v>175.7</v>
      </c>
      <c r="I272" s="64">
        <v>878.6</v>
      </c>
      <c r="J272" s="64">
        <v>8.83</v>
      </c>
      <c r="K272" s="64">
        <v>44.13</v>
      </c>
      <c r="L272" s="38"/>
      <c r="M272" s="80"/>
      <c r="N272" s="80"/>
      <c r="O272" s="80"/>
      <c r="P272" s="80"/>
      <c r="Q272" s="80"/>
    </row>
    <row r="273" s="76" customFormat="1" ht="24.95" customHeight="1" spans="1:17">
      <c r="A273" s="20">
        <v>267</v>
      </c>
      <c r="B273" s="38" t="s">
        <v>371</v>
      </c>
      <c r="C273" s="39" t="s">
        <v>375</v>
      </c>
      <c r="D273" s="39" t="s">
        <v>371</v>
      </c>
      <c r="E273" s="40">
        <v>2430</v>
      </c>
      <c r="F273" s="39" t="s">
        <v>373</v>
      </c>
      <c r="G273" s="46">
        <v>1</v>
      </c>
      <c r="H273" s="64">
        <v>317</v>
      </c>
      <c r="I273" s="64">
        <v>317</v>
      </c>
      <c r="J273" s="64">
        <v>15.87</v>
      </c>
      <c r="K273" s="64">
        <v>15.87</v>
      </c>
      <c r="L273" s="38"/>
      <c r="M273" s="80"/>
      <c r="N273" s="80"/>
      <c r="O273" s="80"/>
      <c r="P273" s="80"/>
      <c r="Q273" s="80"/>
    </row>
    <row r="274" s="76" customFormat="1" ht="24.95" customHeight="1" spans="1:17">
      <c r="A274" s="20">
        <v>268</v>
      </c>
      <c r="B274" s="38" t="s">
        <v>371</v>
      </c>
      <c r="C274" s="39" t="s">
        <v>376</v>
      </c>
      <c r="D274" s="39" t="s">
        <v>371</v>
      </c>
      <c r="E274" s="40">
        <v>1347.5</v>
      </c>
      <c r="F274" s="39" t="s">
        <v>373</v>
      </c>
      <c r="G274" s="46">
        <v>1</v>
      </c>
      <c r="H274" s="64">
        <v>185.7</v>
      </c>
      <c r="I274" s="64">
        <v>185.7</v>
      </c>
      <c r="J274" s="64">
        <v>9.31</v>
      </c>
      <c r="K274" s="64">
        <v>9.31</v>
      </c>
      <c r="L274" s="38"/>
      <c r="M274" s="80"/>
      <c r="N274" s="80"/>
      <c r="O274" s="80"/>
      <c r="P274" s="80"/>
      <c r="Q274" s="80"/>
    </row>
    <row r="275" s="76" customFormat="1" ht="24.95" customHeight="1" spans="1:17">
      <c r="A275" s="20">
        <v>269</v>
      </c>
      <c r="B275" s="38" t="s">
        <v>371</v>
      </c>
      <c r="C275" s="39" t="s">
        <v>377</v>
      </c>
      <c r="D275" s="39" t="s">
        <v>371</v>
      </c>
      <c r="E275" s="40">
        <v>1342.5</v>
      </c>
      <c r="F275" s="39" t="s">
        <v>373</v>
      </c>
      <c r="G275" s="46">
        <v>1</v>
      </c>
      <c r="H275" s="64">
        <v>168.1</v>
      </c>
      <c r="I275" s="64">
        <v>168.1</v>
      </c>
      <c r="J275" s="64">
        <v>8.42</v>
      </c>
      <c r="K275" s="64">
        <v>8.42</v>
      </c>
      <c r="L275" s="38"/>
      <c r="M275" s="80"/>
      <c r="N275" s="80"/>
      <c r="O275" s="80"/>
      <c r="P275" s="80"/>
      <c r="Q275" s="80"/>
    </row>
    <row r="276" s="76" customFormat="1" ht="24.95" customHeight="1" spans="1:17">
      <c r="A276" s="20">
        <v>270</v>
      </c>
      <c r="B276" s="38" t="s">
        <v>371</v>
      </c>
      <c r="C276" s="39" t="s">
        <v>378</v>
      </c>
      <c r="D276" s="39" t="s">
        <v>371</v>
      </c>
      <c r="E276" s="40">
        <v>1617.5</v>
      </c>
      <c r="F276" s="39" t="s">
        <v>373</v>
      </c>
      <c r="G276" s="46">
        <v>4</v>
      </c>
      <c r="H276" s="64">
        <v>223.6</v>
      </c>
      <c r="I276" s="64">
        <v>894.5</v>
      </c>
      <c r="J276" s="64">
        <v>11.2</v>
      </c>
      <c r="K276" s="64">
        <v>44.78</v>
      </c>
      <c r="L276" s="38"/>
      <c r="M276" s="80"/>
      <c r="N276" s="80"/>
      <c r="O276" s="80"/>
      <c r="P276" s="80"/>
      <c r="Q276" s="80"/>
    </row>
    <row r="277" s="76" customFormat="1" ht="24.95" customHeight="1" spans="1:17">
      <c r="A277" s="20">
        <v>271</v>
      </c>
      <c r="B277" s="38" t="s">
        <v>371</v>
      </c>
      <c r="C277" s="39" t="s">
        <v>379</v>
      </c>
      <c r="D277" s="39" t="s">
        <v>371</v>
      </c>
      <c r="E277" s="40">
        <v>1612.5</v>
      </c>
      <c r="F277" s="39" t="s">
        <v>373</v>
      </c>
      <c r="G277" s="46">
        <v>4</v>
      </c>
      <c r="H277" s="64">
        <v>206</v>
      </c>
      <c r="I277" s="64">
        <v>824</v>
      </c>
      <c r="J277" s="64">
        <v>10.31</v>
      </c>
      <c r="K277" s="64">
        <v>41.24</v>
      </c>
      <c r="L277" s="38"/>
      <c r="M277" s="80"/>
      <c r="N277" s="80"/>
      <c r="O277" s="80"/>
      <c r="P277" s="80"/>
      <c r="Q277" s="80"/>
    </row>
    <row r="278" s="76" customFormat="1" ht="24.95" customHeight="1" spans="1:17">
      <c r="A278" s="20">
        <v>272</v>
      </c>
      <c r="B278" s="38" t="s">
        <v>371</v>
      </c>
      <c r="C278" s="39" t="s">
        <v>380</v>
      </c>
      <c r="D278" s="39" t="s">
        <v>371</v>
      </c>
      <c r="E278" s="40">
        <v>795</v>
      </c>
      <c r="F278" s="39" t="s">
        <v>373</v>
      </c>
      <c r="G278" s="46">
        <v>29</v>
      </c>
      <c r="H278" s="64">
        <v>206.6</v>
      </c>
      <c r="I278" s="64">
        <v>5990.8</v>
      </c>
      <c r="J278" s="64">
        <v>10.52</v>
      </c>
      <c r="K278" s="64">
        <v>305.06</v>
      </c>
      <c r="L278" s="38"/>
      <c r="M278" s="80"/>
      <c r="N278" s="80"/>
      <c r="O278" s="80"/>
      <c r="P278" s="80"/>
      <c r="Q278" s="80"/>
    </row>
    <row r="279" s="76" customFormat="1" ht="24.95" customHeight="1" spans="1:17">
      <c r="A279" s="20">
        <v>273</v>
      </c>
      <c r="B279" s="38" t="s">
        <v>371</v>
      </c>
      <c r="C279" s="39" t="s">
        <v>381</v>
      </c>
      <c r="D279" s="39" t="s">
        <v>371</v>
      </c>
      <c r="E279" s="40">
        <v>795</v>
      </c>
      <c r="F279" s="39" t="s">
        <v>373</v>
      </c>
      <c r="G279" s="46">
        <v>1</v>
      </c>
      <c r="H279" s="64">
        <v>206.6</v>
      </c>
      <c r="I279" s="64">
        <v>206.6</v>
      </c>
      <c r="J279" s="64">
        <v>10.52</v>
      </c>
      <c r="K279" s="64">
        <v>10.52</v>
      </c>
      <c r="L279" s="38"/>
      <c r="M279" s="80"/>
      <c r="N279" s="80"/>
      <c r="O279" s="80"/>
      <c r="P279" s="80"/>
      <c r="Q279" s="80"/>
    </row>
    <row r="280" s="76" customFormat="1" ht="24.95" customHeight="1" spans="1:17">
      <c r="A280" s="20">
        <v>274</v>
      </c>
      <c r="B280" s="38" t="s">
        <v>371</v>
      </c>
      <c r="C280" s="39" t="s">
        <v>382</v>
      </c>
      <c r="D280" s="39" t="s">
        <v>371</v>
      </c>
      <c r="E280" s="40">
        <v>795</v>
      </c>
      <c r="F280" s="39" t="s">
        <v>373</v>
      </c>
      <c r="G280" s="46">
        <v>1</v>
      </c>
      <c r="H280" s="64">
        <v>206.6</v>
      </c>
      <c r="I280" s="64">
        <v>206.6</v>
      </c>
      <c r="J280" s="64">
        <v>10.52</v>
      </c>
      <c r="K280" s="64">
        <v>10.52</v>
      </c>
      <c r="L280" s="38"/>
      <c r="M280" s="80"/>
      <c r="N280" s="80"/>
      <c r="O280" s="80"/>
      <c r="P280" s="80"/>
      <c r="Q280" s="80"/>
    </row>
    <row r="281" s="76" customFormat="1" ht="24.95" customHeight="1" spans="1:17">
      <c r="A281" s="20">
        <v>275</v>
      </c>
      <c r="B281" s="38" t="s">
        <v>371</v>
      </c>
      <c r="C281" s="39" t="s">
        <v>383</v>
      </c>
      <c r="D281" s="39" t="s">
        <v>371</v>
      </c>
      <c r="E281" s="40">
        <v>795</v>
      </c>
      <c r="F281" s="39" t="s">
        <v>373</v>
      </c>
      <c r="G281" s="46">
        <v>1</v>
      </c>
      <c r="H281" s="64">
        <v>206.4</v>
      </c>
      <c r="I281" s="64">
        <v>206.4</v>
      </c>
      <c r="J281" s="64">
        <v>10.51</v>
      </c>
      <c r="K281" s="64">
        <v>10.51</v>
      </c>
      <c r="L281" s="38"/>
      <c r="M281" s="80"/>
      <c r="N281" s="80"/>
      <c r="O281" s="80"/>
      <c r="P281" s="80"/>
      <c r="Q281" s="80"/>
    </row>
    <row r="282" s="76" customFormat="1" ht="24.95" customHeight="1" spans="1:17">
      <c r="A282" s="20">
        <v>276</v>
      </c>
      <c r="B282" s="38" t="s">
        <v>371</v>
      </c>
      <c r="C282" s="39" t="s">
        <v>384</v>
      </c>
      <c r="D282" s="39" t="s">
        <v>371</v>
      </c>
      <c r="E282" s="40">
        <v>795</v>
      </c>
      <c r="F282" s="39" t="s">
        <v>373</v>
      </c>
      <c r="G282" s="46">
        <v>1</v>
      </c>
      <c r="H282" s="64">
        <v>204.9</v>
      </c>
      <c r="I282" s="64">
        <v>204.9</v>
      </c>
      <c r="J282" s="64">
        <v>10.44</v>
      </c>
      <c r="K282" s="64">
        <v>10.44</v>
      </c>
      <c r="L282" s="38"/>
      <c r="M282" s="80"/>
      <c r="N282" s="80"/>
      <c r="O282" s="80"/>
      <c r="P282" s="80"/>
      <c r="Q282" s="80"/>
    </row>
    <row r="283" s="76" customFormat="1" ht="24.95" customHeight="1" spans="1:17">
      <c r="A283" s="20">
        <v>277</v>
      </c>
      <c r="B283" s="38" t="s">
        <v>371</v>
      </c>
      <c r="C283" s="39" t="s">
        <v>385</v>
      </c>
      <c r="D283" s="39" t="s">
        <v>371</v>
      </c>
      <c r="E283" s="40">
        <v>795</v>
      </c>
      <c r="F283" s="39" t="s">
        <v>373</v>
      </c>
      <c r="G283" s="46">
        <v>1</v>
      </c>
      <c r="H283" s="64">
        <v>204.8</v>
      </c>
      <c r="I283" s="64">
        <v>204.8</v>
      </c>
      <c r="J283" s="64">
        <v>10.43</v>
      </c>
      <c r="K283" s="64">
        <v>10.43</v>
      </c>
      <c r="L283" s="38"/>
      <c r="M283" s="80"/>
      <c r="N283" s="80"/>
      <c r="O283" s="80"/>
      <c r="P283" s="80"/>
      <c r="Q283" s="80"/>
    </row>
    <row r="284" s="76" customFormat="1" ht="24.95" customHeight="1" spans="1:17">
      <c r="A284" s="20">
        <v>278</v>
      </c>
      <c r="B284" s="38" t="s">
        <v>371</v>
      </c>
      <c r="C284" s="39" t="s">
        <v>386</v>
      </c>
      <c r="D284" s="39" t="s">
        <v>371</v>
      </c>
      <c r="E284" s="40">
        <v>795</v>
      </c>
      <c r="F284" s="39" t="s">
        <v>373</v>
      </c>
      <c r="G284" s="46">
        <v>1</v>
      </c>
      <c r="H284" s="64">
        <v>204.8</v>
      </c>
      <c r="I284" s="64">
        <v>204.8</v>
      </c>
      <c r="J284" s="64">
        <v>10.43</v>
      </c>
      <c r="K284" s="64">
        <v>10.43</v>
      </c>
      <c r="L284" s="38"/>
      <c r="M284" s="80"/>
      <c r="N284" s="80"/>
      <c r="O284" s="80"/>
      <c r="P284" s="80"/>
      <c r="Q284" s="80"/>
    </row>
    <row r="285" s="76" customFormat="1" ht="24.95" customHeight="1" spans="1:17">
      <c r="A285" s="20">
        <v>279</v>
      </c>
      <c r="B285" s="38" t="s">
        <v>371</v>
      </c>
      <c r="C285" s="39" t="s">
        <v>387</v>
      </c>
      <c r="D285" s="39" t="s">
        <v>371</v>
      </c>
      <c r="E285" s="40">
        <v>795</v>
      </c>
      <c r="F285" s="39" t="s">
        <v>373</v>
      </c>
      <c r="G285" s="46">
        <v>1</v>
      </c>
      <c r="H285" s="64">
        <v>198.7</v>
      </c>
      <c r="I285" s="64">
        <v>198.7</v>
      </c>
      <c r="J285" s="64">
        <v>10.13</v>
      </c>
      <c r="K285" s="64">
        <v>10.13</v>
      </c>
      <c r="L285" s="38"/>
      <c r="M285" s="80"/>
      <c r="N285" s="80"/>
      <c r="O285" s="80"/>
      <c r="P285" s="80"/>
      <c r="Q285" s="80"/>
    </row>
    <row r="286" s="76" customFormat="1" ht="24.95" customHeight="1" spans="1:17">
      <c r="A286" s="20">
        <v>280</v>
      </c>
      <c r="B286" s="38" t="s">
        <v>371</v>
      </c>
      <c r="C286" s="39" t="s">
        <v>388</v>
      </c>
      <c r="D286" s="39" t="s">
        <v>371</v>
      </c>
      <c r="E286" s="40">
        <v>2715</v>
      </c>
      <c r="F286" s="39" t="s">
        <v>93</v>
      </c>
      <c r="G286" s="46">
        <v>2</v>
      </c>
      <c r="H286" s="64">
        <v>204.8</v>
      </c>
      <c r="I286" s="64">
        <v>409.6</v>
      </c>
      <c r="J286" s="64">
        <v>8.84</v>
      </c>
      <c r="K286" s="64">
        <v>17.68</v>
      </c>
      <c r="L286" s="38"/>
      <c r="M286" s="80"/>
      <c r="N286" s="80"/>
      <c r="O286" s="80"/>
      <c r="P286" s="80"/>
      <c r="Q286" s="80"/>
    </row>
    <row r="287" s="76" customFormat="1" ht="24.95" customHeight="1" spans="1:17">
      <c r="A287" s="20">
        <v>281</v>
      </c>
      <c r="B287" s="38" t="s">
        <v>371</v>
      </c>
      <c r="C287" s="39" t="s">
        <v>389</v>
      </c>
      <c r="D287" s="39" t="s">
        <v>371</v>
      </c>
      <c r="E287" s="40">
        <v>2665</v>
      </c>
      <c r="F287" s="39" t="s">
        <v>373</v>
      </c>
      <c r="G287" s="46">
        <v>2</v>
      </c>
      <c r="H287" s="64">
        <v>233</v>
      </c>
      <c r="I287" s="64">
        <v>466</v>
      </c>
      <c r="J287" s="64">
        <v>11.35</v>
      </c>
      <c r="K287" s="64">
        <v>22.7</v>
      </c>
      <c r="L287" s="38"/>
      <c r="M287" s="80"/>
      <c r="N287" s="80"/>
      <c r="O287" s="80"/>
      <c r="P287" s="80"/>
      <c r="Q287" s="80"/>
    </row>
    <row r="288" s="76" customFormat="1" ht="24.95" customHeight="1" spans="1:17">
      <c r="A288" s="20">
        <v>282</v>
      </c>
      <c r="B288" s="38" t="s">
        <v>371</v>
      </c>
      <c r="C288" s="39" t="s">
        <v>390</v>
      </c>
      <c r="D288" s="39" t="s">
        <v>371</v>
      </c>
      <c r="E288" s="40">
        <v>2715.2</v>
      </c>
      <c r="F288" s="39" t="s">
        <v>373</v>
      </c>
      <c r="G288" s="46">
        <v>10</v>
      </c>
      <c r="H288" s="64">
        <v>236.3</v>
      </c>
      <c r="I288" s="64">
        <v>2362.7</v>
      </c>
      <c r="J288" s="64">
        <v>11.51</v>
      </c>
      <c r="K288" s="64">
        <v>115.15</v>
      </c>
      <c r="L288" s="38"/>
      <c r="M288" s="80"/>
      <c r="N288" s="80"/>
      <c r="O288" s="80"/>
      <c r="P288" s="80"/>
      <c r="Q288" s="80"/>
    </row>
    <row r="289" s="76" customFormat="1" ht="24.95" customHeight="1" spans="1:17">
      <c r="A289" s="20">
        <v>283</v>
      </c>
      <c r="B289" s="38" t="s">
        <v>371</v>
      </c>
      <c r="C289" s="39" t="s">
        <v>391</v>
      </c>
      <c r="D289" s="39" t="s">
        <v>371</v>
      </c>
      <c r="E289" s="40">
        <v>2840</v>
      </c>
      <c r="F289" s="39" t="s">
        <v>373</v>
      </c>
      <c r="G289" s="46">
        <v>1</v>
      </c>
      <c r="H289" s="64">
        <v>340.2</v>
      </c>
      <c r="I289" s="64">
        <v>340.2</v>
      </c>
      <c r="J289" s="64">
        <v>16.47</v>
      </c>
      <c r="K289" s="64">
        <v>16.47</v>
      </c>
      <c r="L289" s="38"/>
      <c r="M289" s="80"/>
      <c r="N289" s="80"/>
      <c r="O289" s="80"/>
      <c r="P289" s="80"/>
      <c r="Q289" s="80"/>
    </row>
    <row r="290" s="76" customFormat="1" ht="24.95" customHeight="1" spans="1:17">
      <c r="A290" s="20">
        <v>284</v>
      </c>
      <c r="B290" s="38" t="s">
        <v>371</v>
      </c>
      <c r="C290" s="39" t="s">
        <v>392</v>
      </c>
      <c r="D290" s="39" t="s">
        <v>371</v>
      </c>
      <c r="E290" s="40">
        <v>2840</v>
      </c>
      <c r="F290" s="39" t="s">
        <v>373</v>
      </c>
      <c r="G290" s="46">
        <v>12</v>
      </c>
      <c r="H290" s="64">
        <v>335.9</v>
      </c>
      <c r="I290" s="64">
        <v>4030.5</v>
      </c>
      <c r="J290" s="64">
        <v>16.25</v>
      </c>
      <c r="K290" s="64">
        <v>194.97</v>
      </c>
      <c r="L290" s="38"/>
      <c r="M290" s="80"/>
      <c r="N290" s="80"/>
      <c r="O290" s="80"/>
      <c r="P290" s="80"/>
      <c r="Q290" s="80"/>
    </row>
    <row r="291" s="76" customFormat="1" ht="24.95" customHeight="1" spans="1:17">
      <c r="A291" s="20">
        <v>285</v>
      </c>
      <c r="B291" s="38" t="s">
        <v>371</v>
      </c>
      <c r="C291" s="39" t="s">
        <v>393</v>
      </c>
      <c r="D291" s="39" t="s">
        <v>371</v>
      </c>
      <c r="E291" s="40">
        <v>2840</v>
      </c>
      <c r="F291" s="39" t="s">
        <v>373</v>
      </c>
      <c r="G291" s="46">
        <v>1</v>
      </c>
      <c r="H291" s="64">
        <v>340.2</v>
      </c>
      <c r="I291" s="64">
        <v>340.2</v>
      </c>
      <c r="J291" s="64">
        <v>16.47</v>
      </c>
      <c r="K291" s="64">
        <v>16.47</v>
      </c>
      <c r="L291" s="38"/>
      <c r="M291" s="80"/>
      <c r="N291" s="80"/>
      <c r="O291" s="80"/>
      <c r="P291" s="80"/>
      <c r="Q291" s="80"/>
    </row>
    <row r="292" s="76" customFormat="1" ht="24.95" customHeight="1" spans="1:17">
      <c r="A292" s="20">
        <v>286</v>
      </c>
      <c r="B292" s="65" t="s">
        <v>394</v>
      </c>
      <c r="C292" s="49" t="s">
        <v>395</v>
      </c>
      <c r="D292" s="49" t="s">
        <v>396</v>
      </c>
      <c r="E292" s="50">
        <v>1480</v>
      </c>
      <c r="F292" s="49" t="s">
        <v>93</v>
      </c>
      <c r="G292" s="51">
        <v>24</v>
      </c>
      <c r="H292" s="70">
        <v>21.7</v>
      </c>
      <c r="I292" s="70">
        <v>520.2</v>
      </c>
      <c r="J292" s="70">
        <v>0.87</v>
      </c>
      <c r="K292" s="70">
        <v>20.94</v>
      </c>
      <c r="L292" s="72" t="s">
        <v>397</v>
      </c>
      <c r="M292" s="80"/>
      <c r="N292" s="80"/>
      <c r="O292" s="80"/>
      <c r="P292" s="80"/>
      <c r="Q292" s="80"/>
    </row>
    <row r="293" s="76" customFormat="1" ht="24.95" customHeight="1" spans="1:17">
      <c r="A293" s="20">
        <v>287</v>
      </c>
      <c r="B293" s="65" t="s">
        <v>394</v>
      </c>
      <c r="C293" s="49" t="s">
        <v>398</v>
      </c>
      <c r="D293" s="49" t="s">
        <v>396</v>
      </c>
      <c r="E293" s="50">
        <v>2640</v>
      </c>
      <c r="F293" s="49" t="s">
        <v>93</v>
      </c>
      <c r="G293" s="51">
        <v>28</v>
      </c>
      <c r="H293" s="70">
        <v>38.7</v>
      </c>
      <c r="I293" s="70">
        <v>1082.5</v>
      </c>
      <c r="J293" s="70">
        <v>1.55</v>
      </c>
      <c r="K293" s="70">
        <v>43.5</v>
      </c>
      <c r="L293" s="73"/>
      <c r="M293" s="80"/>
      <c r="N293" s="80"/>
      <c r="O293" s="80"/>
      <c r="P293" s="80"/>
      <c r="Q293" s="80"/>
    </row>
    <row r="294" s="76" customFormat="1" ht="24.95" customHeight="1" spans="1:17">
      <c r="A294" s="20">
        <v>288</v>
      </c>
      <c r="B294" s="65" t="s">
        <v>394</v>
      </c>
      <c r="C294" s="49" t="s">
        <v>399</v>
      </c>
      <c r="D294" s="49" t="s">
        <v>396</v>
      </c>
      <c r="E294" s="50">
        <v>940</v>
      </c>
      <c r="F294" s="49" t="s">
        <v>93</v>
      </c>
      <c r="G294" s="51">
        <v>4</v>
      </c>
      <c r="H294" s="70">
        <v>13.8</v>
      </c>
      <c r="I294" s="70">
        <v>55.1</v>
      </c>
      <c r="J294" s="70">
        <v>0.56</v>
      </c>
      <c r="K294" s="70">
        <v>2.22</v>
      </c>
      <c r="L294" s="73"/>
      <c r="M294" s="80"/>
      <c r="N294" s="80"/>
      <c r="O294" s="80"/>
      <c r="P294" s="80"/>
      <c r="Q294" s="80"/>
    </row>
    <row r="295" s="76" customFormat="1" ht="24.95" customHeight="1" spans="1:17">
      <c r="A295" s="20">
        <v>289</v>
      </c>
      <c r="B295" s="65" t="s">
        <v>394</v>
      </c>
      <c r="C295" s="49" t="s">
        <v>400</v>
      </c>
      <c r="D295" s="49" t="s">
        <v>396</v>
      </c>
      <c r="E295" s="50">
        <v>1631</v>
      </c>
      <c r="F295" s="49" t="s">
        <v>93</v>
      </c>
      <c r="G295" s="51">
        <v>12</v>
      </c>
      <c r="H295" s="70">
        <v>23.9</v>
      </c>
      <c r="I295" s="70">
        <v>286.6</v>
      </c>
      <c r="J295" s="70">
        <v>0.96</v>
      </c>
      <c r="K295" s="70">
        <v>11.53</v>
      </c>
      <c r="L295" s="73"/>
      <c r="M295" s="80"/>
      <c r="N295" s="80"/>
      <c r="O295" s="80"/>
      <c r="P295" s="80"/>
      <c r="Q295" s="80"/>
    </row>
    <row r="296" s="76" customFormat="1" ht="24.95" customHeight="1" spans="1:17">
      <c r="A296" s="20">
        <v>290</v>
      </c>
      <c r="B296" s="65" t="s">
        <v>394</v>
      </c>
      <c r="C296" s="49" t="s">
        <v>401</v>
      </c>
      <c r="D296" s="49" t="s">
        <v>396</v>
      </c>
      <c r="E296" s="50">
        <v>2251</v>
      </c>
      <c r="F296" s="49" t="s">
        <v>93</v>
      </c>
      <c r="G296" s="51">
        <v>14</v>
      </c>
      <c r="H296" s="70">
        <v>33</v>
      </c>
      <c r="I296" s="70">
        <v>461.5</v>
      </c>
      <c r="J296" s="70">
        <v>1.33</v>
      </c>
      <c r="K296" s="70">
        <v>18.55</v>
      </c>
      <c r="L296" s="73"/>
      <c r="M296" s="80"/>
      <c r="N296" s="80"/>
      <c r="O296" s="80"/>
      <c r="P296" s="80"/>
      <c r="Q296" s="80"/>
    </row>
    <row r="297" s="76" customFormat="1" ht="24.95" customHeight="1" spans="1:17">
      <c r="A297" s="20">
        <v>291</v>
      </c>
      <c r="B297" s="65" t="s">
        <v>394</v>
      </c>
      <c r="C297" s="49" t="s">
        <v>402</v>
      </c>
      <c r="D297" s="49" t="s">
        <v>396</v>
      </c>
      <c r="E297" s="50">
        <v>1091</v>
      </c>
      <c r="F297" s="49" t="s">
        <v>93</v>
      </c>
      <c r="G297" s="51">
        <v>2</v>
      </c>
      <c r="H297" s="70">
        <v>16</v>
      </c>
      <c r="I297" s="70">
        <v>32</v>
      </c>
      <c r="J297" s="70">
        <v>0.64</v>
      </c>
      <c r="K297" s="70">
        <v>1.29</v>
      </c>
      <c r="L297" s="73"/>
      <c r="M297" s="80"/>
      <c r="N297" s="80"/>
      <c r="O297" s="80"/>
      <c r="P297" s="80"/>
      <c r="Q297" s="80"/>
    </row>
    <row r="298" s="76" customFormat="1" ht="24.95" customHeight="1" spans="1:17">
      <c r="A298" s="20">
        <v>292</v>
      </c>
      <c r="B298" s="65" t="s">
        <v>394</v>
      </c>
      <c r="C298" s="49" t="s">
        <v>403</v>
      </c>
      <c r="D298" s="49" t="s">
        <v>396</v>
      </c>
      <c r="E298" s="50">
        <v>1325</v>
      </c>
      <c r="F298" s="49" t="s">
        <v>93</v>
      </c>
      <c r="G298" s="51">
        <v>2</v>
      </c>
      <c r="H298" s="70">
        <v>19.4</v>
      </c>
      <c r="I298" s="70">
        <v>38.8</v>
      </c>
      <c r="J298" s="70">
        <v>0.78</v>
      </c>
      <c r="K298" s="70">
        <v>1.56</v>
      </c>
      <c r="L298" s="73"/>
      <c r="M298" s="80"/>
      <c r="N298" s="80"/>
      <c r="O298" s="80"/>
      <c r="P298" s="80"/>
      <c r="Q298" s="80"/>
    </row>
    <row r="299" s="76" customFormat="1" ht="24.95" customHeight="1" spans="1:17">
      <c r="A299" s="20">
        <v>293</v>
      </c>
      <c r="B299" s="65" t="s">
        <v>394</v>
      </c>
      <c r="C299" s="49" t="s">
        <v>404</v>
      </c>
      <c r="D299" s="49" t="s">
        <v>396</v>
      </c>
      <c r="E299" s="50">
        <v>898</v>
      </c>
      <c r="F299" s="49" t="s">
        <v>93</v>
      </c>
      <c r="G299" s="51">
        <v>1</v>
      </c>
      <c r="H299" s="70">
        <v>13.2</v>
      </c>
      <c r="I299" s="70">
        <v>13.2</v>
      </c>
      <c r="J299" s="70">
        <v>0.53</v>
      </c>
      <c r="K299" s="70">
        <v>0.53</v>
      </c>
      <c r="L299" s="73"/>
      <c r="M299" s="80"/>
      <c r="N299" s="80"/>
      <c r="O299" s="80"/>
      <c r="P299" s="80"/>
      <c r="Q299" s="80"/>
    </row>
    <row r="300" s="76" customFormat="1" ht="24.95" customHeight="1" spans="1:17">
      <c r="A300" s="20">
        <v>294</v>
      </c>
      <c r="B300" s="65" t="s">
        <v>394</v>
      </c>
      <c r="C300" s="49" t="s">
        <v>405</v>
      </c>
      <c r="D300" s="49" t="s">
        <v>396</v>
      </c>
      <c r="E300" s="50">
        <v>1515</v>
      </c>
      <c r="F300" s="49" t="s">
        <v>93</v>
      </c>
      <c r="G300" s="51">
        <v>16</v>
      </c>
      <c r="H300" s="70">
        <v>22.2</v>
      </c>
      <c r="I300" s="70">
        <v>355</v>
      </c>
      <c r="J300" s="70">
        <v>0.89</v>
      </c>
      <c r="K300" s="70">
        <v>14.29</v>
      </c>
      <c r="L300" s="73"/>
      <c r="M300" s="80"/>
      <c r="N300" s="80"/>
      <c r="O300" s="80"/>
      <c r="P300" s="80"/>
      <c r="Q300" s="80"/>
    </row>
    <row r="301" s="76" customFormat="1" ht="24.95" customHeight="1" spans="1:17">
      <c r="A301" s="20">
        <v>295</v>
      </c>
      <c r="B301" s="65" t="s">
        <v>394</v>
      </c>
      <c r="C301" s="49" t="s">
        <v>406</v>
      </c>
      <c r="D301" s="49" t="s">
        <v>396</v>
      </c>
      <c r="E301" s="50">
        <v>2667</v>
      </c>
      <c r="F301" s="49" t="s">
        <v>93</v>
      </c>
      <c r="G301" s="51">
        <v>4</v>
      </c>
      <c r="H301" s="70">
        <v>39.1</v>
      </c>
      <c r="I301" s="70">
        <v>156.2</v>
      </c>
      <c r="J301" s="70">
        <v>1.57</v>
      </c>
      <c r="K301" s="70">
        <v>6.28</v>
      </c>
      <c r="L301" s="73"/>
      <c r="M301" s="80"/>
      <c r="N301" s="80"/>
      <c r="O301" s="80"/>
      <c r="P301" s="80"/>
      <c r="Q301" s="80"/>
    </row>
    <row r="302" s="76" customFormat="1" ht="24.95" customHeight="1" spans="1:17">
      <c r="A302" s="20">
        <v>296</v>
      </c>
      <c r="B302" s="65" t="s">
        <v>394</v>
      </c>
      <c r="C302" s="49" t="s">
        <v>407</v>
      </c>
      <c r="D302" s="49" t="s">
        <v>396</v>
      </c>
      <c r="E302" s="50">
        <v>2518.5</v>
      </c>
      <c r="F302" s="49" t="s">
        <v>93</v>
      </c>
      <c r="G302" s="51">
        <v>4</v>
      </c>
      <c r="H302" s="70">
        <v>36.9</v>
      </c>
      <c r="I302" s="70">
        <v>147.5</v>
      </c>
      <c r="J302" s="70">
        <v>1.48</v>
      </c>
      <c r="K302" s="70">
        <v>5.93</v>
      </c>
      <c r="L302" s="73"/>
      <c r="M302" s="80"/>
      <c r="N302" s="80"/>
      <c r="O302" s="80"/>
      <c r="P302" s="80"/>
      <c r="Q302" s="80"/>
    </row>
    <row r="303" s="76" customFormat="1" ht="24.95" customHeight="1" spans="1:17">
      <c r="A303" s="20">
        <v>297</v>
      </c>
      <c r="B303" s="65" t="s">
        <v>394</v>
      </c>
      <c r="C303" s="49" t="s">
        <v>408</v>
      </c>
      <c r="D303" s="49" t="s">
        <v>396</v>
      </c>
      <c r="E303" s="50">
        <v>1245</v>
      </c>
      <c r="F303" s="49" t="s">
        <v>93</v>
      </c>
      <c r="G303" s="51">
        <v>4</v>
      </c>
      <c r="H303" s="70">
        <v>18.2</v>
      </c>
      <c r="I303" s="70">
        <v>72.9</v>
      </c>
      <c r="J303" s="70">
        <v>0.73</v>
      </c>
      <c r="K303" s="70">
        <v>2.94</v>
      </c>
      <c r="L303" s="73"/>
      <c r="M303" s="80"/>
      <c r="N303" s="80"/>
      <c r="O303" s="80"/>
      <c r="P303" s="80"/>
      <c r="Q303" s="80"/>
    </row>
    <row r="304" s="76" customFormat="1" ht="24.95" customHeight="1" spans="1:17">
      <c r="A304" s="20">
        <v>298</v>
      </c>
      <c r="B304" s="65" t="s">
        <v>394</v>
      </c>
      <c r="C304" s="49" t="s">
        <v>409</v>
      </c>
      <c r="D304" s="49" t="s">
        <v>396</v>
      </c>
      <c r="E304" s="50">
        <v>1110</v>
      </c>
      <c r="F304" s="49" t="s">
        <v>93</v>
      </c>
      <c r="G304" s="51">
        <v>4</v>
      </c>
      <c r="H304" s="70">
        <v>16.3</v>
      </c>
      <c r="I304" s="70">
        <v>65</v>
      </c>
      <c r="J304" s="70">
        <v>0.66</v>
      </c>
      <c r="K304" s="70">
        <v>2.62</v>
      </c>
      <c r="L304" s="73"/>
      <c r="M304" s="80"/>
      <c r="N304" s="80"/>
      <c r="O304" s="80"/>
      <c r="P304" s="80"/>
      <c r="Q304" s="80"/>
    </row>
    <row r="305" s="76" customFormat="1" ht="24.95" customHeight="1" spans="1:17">
      <c r="A305" s="20">
        <v>299</v>
      </c>
      <c r="B305" s="65" t="s">
        <v>394</v>
      </c>
      <c r="C305" s="49" t="s">
        <v>410</v>
      </c>
      <c r="D305" s="49" t="s">
        <v>396</v>
      </c>
      <c r="E305" s="50">
        <v>1321</v>
      </c>
      <c r="F305" s="49" t="s">
        <v>93</v>
      </c>
      <c r="G305" s="51">
        <v>4</v>
      </c>
      <c r="H305" s="70">
        <v>19</v>
      </c>
      <c r="I305" s="70">
        <v>75.8</v>
      </c>
      <c r="J305" s="70">
        <v>0.76</v>
      </c>
      <c r="K305" s="70">
        <v>3.05</v>
      </c>
      <c r="L305" s="73"/>
      <c r="M305" s="80"/>
      <c r="N305" s="80"/>
      <c r="O305" s="80"/>
      <c r="P305" s="80"/>
      <c r="Q305" s="80"/>
    </row>
    <row r="306" s="76" customFormat="1" ht="24.95" customHeight="1" spans="1:17">
      <c r="A306" s="20">
        <v>300</v>
      </c>
      <c r="B306" s="65" t="s">
        <v>394</v>
      </c>
      <c r="C306" s="49" t="s">
        <v>411</v>
      </c>
      <c r="D306" s="49" t="s">
        <v>396</v>
      </c>
      <c r="E306" s="50">
        <v>1396</v>
      </c>
      <c r="F306" s="49" t="s">
        <v>93</v>
      </c>
      <c r="G306" s="51">
        <v>4</v>
      </c>
      <c r="H306" s="70">
        <v>20</v>
      </c>
      <c r="I306" s="70">
        <v>80.2</v>
      </c>
      <c r="J306" s="70">
        <v>0.81</v>
      </c>
      <c r="K306" s="70">
        <v>3.23</v>
      </c>
      <c r="L306" s="73"/>
      <c r="M306" s="80"/>
      <c r="N306" s="80"/>
      <c r="O306" s="80"/>
      <c r="P306" s="80"/>
      <c r="Q306" s="80"/>
    </row>
    <row r="307" s="76" customFormat="1" ht="24.95" customHeight="1" spans="1:17">
      <c r="A307" s="20">
        <v>301</v>
      </c>
      <c r="B307" s="65" t="s">
        <v>394</v>
      </c>
      <c r="C307" s="49" t="s">
        <v>412</v>
      </c>
      <c r="D307" s="49" t="s">
        <v>396</v>
      </c>
      <c r="E307" s="50">
        <v>1342</v>
      </c>
      <c r="F307" s="49" t="s">
        <v>93</v>
      </c>
      <c r="G307" s="51">
        <v>1</v>
      </c>
      <c r="H307" s="70">
        <v>19</v>
      </c>
      <c r="I307" s="70">
        <v>19</v>
      </c>
      <c r="J307" s="70">
        <v>0.77</v>
      </c>
      <c r="K307" s="70">
        <v>0.77</v>
      </c>
      <c r="L307" s="73"/>
      <c r="M307" s="80"/>
      <c r="N307" s="80"/>
      <c r="O307" s="80"/>
      <c r="P307" s="80"/>
      <c r="Q307" s="80"/>
    </row>
    <row r="308" s="76" customFormat="1" ht="24.95" customHeight="1" spans="1:17">
      <c r="A308" s="20">
        <v>302</v>
      </c>
      <c r="B308" s="65" t="s">
        <v>394</v>
      </c>
      <c r="C308" s="49" t="s">
        <v>413</v>
      </c>
      <c r="D308" s="49" t="s">
        <v>396</v>
      </c>
      <c r="E308" s="50">
        <v>1267</v>
      </c>
      <c r="F308" s="49" t="s">
        <v>93</v>
      </c>
      <c r="G308" s="51">
        <v>1</v>
      </c>
      <c r="H308" s="70">
        <v>17.9</v>
      </c>
      <c r="I308" s="70">
        <v>17.9</v>
      </c>
      <c r="J308" s="70">
        <v>0.72</v>
      </c>
      <c r="K308" s="70">
        <v>0.72</v>
      </c>
      <c r="L308" s="73"/>
      <c r="M308" s="80"/>
      <c r="N308" s="80"/>
      <c r="O308" s="80"/>
      <c r="P308" s="80"/>
      <c r="Q308" s="80"/>
    </row>
    <row r="309" s="76" customFormat="1" ht="24.95" customHeight="1" spans="1:17">
      <c r="A309" s="20">
        <v>303</v>
      </c>
      <c r="B309" s="65" t="s">
        <v>394</v>
      </c>
      <c r="C309" s="49" t="s">
        <v>414</v>
      </c>
      <c r="D309" s="49" t="s">
        <v>396</v>
      </c>
      <c r="E309" s="50">
        <v>1317</v>
      </c>
      <c r="F309" s="49" t="s">
        <v>93</v>
      </c>
      <c r="G309" s="51">
        <v>2</v>
      </c>
      <c r="H309" s="70">
        <v>18.6</v>
      </c>
      <c r="I309" s="70">
        <v>37.3</v>
      </c>
      <c r="J309" s="70">
        <v>0.75</v>
      </c>
      <c r="K309" s="70">
        <v>1.5</v>
      </c>
      <c r="L309" s="73"/>
      <c r="M309" s="80"/>
      <c r="N309" s="80"/>
      <c r="O309" s="80"/>
      <c r="P309" s="80"/>
      <c r="Q309" s="80"/>
    </row>
    <row r="310" s="76" customFormat="1" ht="24.95" customHeight="1" spans="1:17">
      <c r="A310" s="20">
        <v>304</v>
      </c>
      <c r="B310" s="65" t="s">
        <v>394</v>
      </c>
      <c r="C310" s="49" t="s">
        <v>415</v>
      </c>
      <c r="D310" s="49" t="s">
        <v>396</v>
      </c>
      <c r="E310" s="50">
        <v>2691.5</v>
      </c>
      <c r="F310" s="49" t="s">
        <v>93</v>
      </c>
      <c r="G310" s="51">
        <v>1</v>
      </c>
      <c r="H310" s="70">
        <v>39</v>
      </c>
      <c r="I310" s="70">
        <v>39</v>
      </c>
      <c r="J310" s="70">
        <v>1.57</v>
      </c>
      <c r="K310" s="70">
        <v>1.57</v>
      </c>
      <c r="L310" s="73"/>
      <c r="M310" s="80"/>
      <c r="N310" s="80"/>
      <c r="O310" s="80"/>
      <c r="P310" s="80"/>
      <c r="Q310" s="80"/>
    </row>
    <row r="311" s="76" customFormat="1" ht="24.95" customHeight="1" spans="1:17">
      <c r="A311" s="20">
        <v>305</v>
      </c>
      <c r="B311" s="65" t="s">
        <v>394</v>
      </c>
      <c r="C311" s="49" t="s">
        <v>416</v>
      </c>
      <c r="D311" s="49" t="s">
        <v>396</v>
      </c>
      <c r="E311" s="50">
        <v>2657</v>
      </c>
      <c r="F311" s="49" t="s">
        <v>93</v>
      </c>
      <c r="G311" s="51">
        <v>9</v>
      </c>
      <c r="H311" s="70">
        <v>38.1</v>
      </c>
      <c r="I311" s="70">
        <v>343.2</v>
      </c>
      <c r="J311" s="70">
        <v>1.53</v>
      </c>
      <c r="K311" s="70">
        <v>13.8</v>
      </c>
      <c r="L311" s="73"/>
      <c r="M311" s="80"/>
      <c r="N311" s="80"/>
      <c r="O311" s="80"/>
      <c r="P311" s="80"/>
      <c r="Q311" s="80"/>
    </row>
    <row r="312" s="76" customFormat="1" ht="24.95" customHeight="1" spans="1:17">
      <c r="A312" s="20">
        <v>306</v>
      </c>
      <c r="B312" s="65" t="s">
        <v>394</v>
      </c>
      <c r="C312" s="49" t="s">
        <v>417</v>
      </c>
      <c r="D312" s="49" t="s">
        <v>396</v>
      </c>
      <c r="E312" s="50">
        <v>2791.5</v>
      </c>
      <c r="F312" s="49" t="s">
        <v>93</v>
      </c>
      <c r="G312" s="51">
        <v>4</v>
      </c>
      <c r="H312" s="70">
        <v>40.1</v>
      </c>
      <c r="I312" s="70">
        <v>160.4</v>
      </c>
      <c r="J312" s="70">
        <v>1.61</v>
      </c>
      <c r="K312" s="70">
        <v>6.45</v>
      </c>
      <c r="L312" s="73"/>
      <c r="M312" s="80"/>
      <c r="N312" s="80"/>
      <c r="O312" s="80"/>
      <c r="P312" s="80"/>
      <c r="Q312" s="80"/>
    </row>
    <row r="313" s="76" customFormat="1" ht="24.95" customHeight="1" spans="1:17">
      <c r="A313" s="20">
        <v>307</v>
      </c>
      <c r="B313" s="65" t="s">
        <v>394</v>
      </c>
      <c r="C313" s="49" t="s">
        <v>418</v>
      </c>
      <c r="D313" s="49" t="s">
        <v>396</v>
      </c>
      <c r="E313" s="50">
        <v>2656</v>
      </c>
      <c r="F313" s="49" t="s">
        <v>93</v>
      </c>
      <c r="G313" s="51">
        <v>2</v>
      </c>
      <c r="H313" s="70">
        <v>38.1</v>
      </c>
      <c r="I313" s="70">
        <v>76.2</v>
      </c>
      <c r="J313" s="70">
        <v>1.53</v>
      </c>
      <c r="K313" s="70">
        <v>3.06</v>
      </c>
      <c r="L313" s="73"/>
      <c r="M313" s="80"/>
      <c r="N313" s="80"/>
      <c r="O313" s="80"/>
      <c r="P313" s="80"/>
      <c r="Q313" s="80"/>
    </row>
    <row r="314" s="76" customFormat="1" ht="24.95" customHeight="1" spans="1:17">
      <c r="A314" s="20">
        <v>308</v>
      </c>
      <c r="B314" s="65" t="s">
        <v>394</v>
      </c>
      <c r="C314" s="49" t="s">
        <v>419</v>
      </c>
      <c r="D314" s="49" t="s">
        <v>396</v>
      </c>
      <c r="E314" s="50">
        <v>2683.5</v>
      </c>
      <c r="F314" s="49" t="s">
        <v>93</v>
      </c>
      <c r="G314" s="51">
        <v>1</v>
      </c>
      <c r="H314" s="70">
        <v>38</v>
      </c>
      <c r="I314" s="70">
        <v>38</v>
      </c>
      <c r="J314" s="70">
        <v>1.53</v>
      </c>
      <c r="K314" s="70">
        <v>1.53</v>
      </c>
      <c r="L314" s="73"/>
      <c r="M314" s="80"/>
      <c r="N314" s="80"/>
      <c r="O314" s="80"/>
      <c r="P314" s="80"/>
      <c r="Q314" s="80"/>
    </row>
    <row r="315" s="76" customFormat="1" ht="24.95" customHeight="1" spans="1:17">
      <c r="A315" s="20">
        <v>309</v>
      </c>
      <c r="B315" s="65" t="s">
        <v>394</v>
      </c>
      <c r="C315" s="49" t="s">
        <v>420</v>
      </c>
      <c r="D315" s="49" t="s">
        <v>396</v>
      </c>
      <c r="E315" s="50">
        <v>2785.5</v>
      </c>
      <c r="F315" s="49" t="s">
        <v>93</v>
      </c>
      <c r="G315" s="51">
        <v>1</v>
      </c>
      <c r="H315" s="70">
        <v>39.9</v>
      </c>
      <c r="I315" s="70">
        <v>39.9</v>
      </c>
      <c r="J315" s="70">
        <v>1.61</v>
      </c>
      <c r="K315" s="70">
        <v>1.61</v>
      </c>
      <c r="L315" s="74"/>
      <c r="M315" s="80"/>
      <c r="N315" s="80"/>
      <c r="O315" s="80"/>
      <c r="P315" s="80"/>
      <c r="Q315" s="80"/>
    </row>
    <row r="316" s="76" customFormat="1" ht="24.95" customHeight="1" spans="1:17">
      <c r="A316" s="20">
        <v>310</v>
      </c>
      <c r="B316" s="38" t="s">
        <v>421</v>
      </c>
      <c r="C316" s="39" t="s">
        <v>422</v>
      </c>
      <c r="D316" s="39" t="s">
        <v>423</v>
      </c>
      <c r="E316" s="40">
        <v>70</v>
      </c>
      <c r="F316" s="39" t="s">
        <v>93</v>
      </c>
      <c r="G316" s="46">
        <v>576</v>
      </c>
      <c r="H316" s="47">
        <v>0.8</v>
      </c>
      <c r="I316" s="47">
        <v>443.1</v>
      </c>
      <c r="J316" s="47">
        <v>0.02</v>
      </c>
      <c r="K316" s="47">
        <v>8.87</v>
      </c>
      <c r="L316" s="68" t="s">
        <v>424</v>
      </c>
      <c r="M316" s="80"/>
      <c r="N316" s="80"/>
      <c r="O316" s="80"/>
      <c r="P316" s="80"/>
      <c r="Q316" s="80"/>
    </row>
    <row r="317" s="76" customFormat="1" ht="24.95" customHeight="1" spans="1:17">
      <c r="A317" s="20">
        <v>311</v>
      </c>
      <c r="B317" s="38" t="s">
        <v>421</v>
      </c>
      <c r="C317" s="39" t="s">
        <v>425</v>
      </c>
      <c r="D317" s="39" t="s">
        <v>426</v>
      </c>
      <c r="E317" s="40">
        <v>385</v>
      </c>
      <c r="F317" s="39" t="s">
        <v>93</v>
      </c>
      <c r="G317" s="46">
        <v>112</v>
      </c>
      <c r="H317" s="47">
        <v>3.3</v>
      </c>
      <c r="I317" s="47">
        <v>365.6</v>
      </c>
      <c r="J317" s="47">
        <v>0.08</v>
      </c>
      <c r="K317" s="47">
        <v>9.04</v>
      </c>
      <c r="L317" s="69"/>
      <c r="M317" s="80"/>
      <c r="N317" s="80"/>
      <c r="O317" s="80"/>
      <c r="P317" s="80"/>
      <c r="Q317" s="80"/>
    </row>
    <row r="318" s="76" customFormat="1" ht="24.95" customHeight="1" spans="1:17">
      <c r="A318" s="20">
        <v>312</v>
      </c>
      <c r="B318" s="38" t="s">
        <v>421</v>
      </c>
      <c r="C318" s="39" t="s">
        <v>427</v>
      </c>
      <c r="D318" s="39" t="s">
        <v>428</v>
      </c>
      <c r="E318" s="40">
        <v>885</v>
      </c>
      <c r="F318" s="39" t="s">
        <v>93</v>
      </c>
      <c r="G318" s="46">
        <v>24</v>
      </c>
      <c r="H318" s="47">
        <v>38.5</v>
      </c>
      <c r="I318" s="47">
        <v>923</v>
      </c>
      <c r="J318" s="47">
        <v>0.65</v>
      </c>
      <c r="K318" s="47">
        <v>15.64</v>
      </c>
      <c r="L318" s="69"/>
      <c r="M318" s="80"/>
      <c r="N318" s="80"/>
      <c r="O318" s="80"/>
      <c r="P318" s="80"/>
      <c r="Q318" s="80"/>
    </row>
    <row r="319" s="76" customFormat="1" ht="24.95" customHeight="1" spans="1:17">
      <c r="A319" s="20">
        <v>313</v>
      </c>
      <c r="B319" s="38" t="s">
        <v>421</v>
      </c>
      <c r="C319" s="39" t="s">
        <v>429</v>
      </c>
      <c r="D319" s="39" t="s">
        <v>428</v>
      </c>
      <c r="E319" s="40">
        <v>885</v>
      </c>
      <c r="F319" s="39" t="s">
        <v>93</v>
      </c>
      <c r="G319" s="46">
        <v>10</v>
      </c>
      <c r="H319" s="47">
        <v>38.5</v>
      </c>
      <c r="I319" s="47">
        <v>384.6</v>
      </c>
      <c r="J319" s="47">
        <v>0.65</v>
      </c>
      <c r="K319" s="47">
        <v>6.52</v>
      </c>
      <c r="L319" s="69"/>
      <c r="M319" s="80"/>
      <c r="N319" s="80"/>
      <c r="O319" s="80"/>
      <c r="P319" s="80"/>
      <c r="Q319" s="80"/>
    </row>
    <row r="320" s="76" customFormat="1" ht="24.95" customHeight="1" spans="1:17">
      <c r="A320" s="20">
        <v>314</v>
      </c>
      <c r="B320" s="38" t="s">
        <v>421</v>
      </c>
      <c r="C320" s="39" t="s">
        <v>430</v>
      </c>
      <c r="D320" s="39" t="s">
        <v>431</v>
      </c>
      <c r="E320" s="40">
        <v>255</v>
      </c>
      <c r="F320" s="39" t="s">
        <v>93</v>
      </c>
      <c r="G320" s="46">
        <v>390</v>
      </c>
      <c r="H320" s="47">
        <v>0.4</v>
      </c>
      <c r="I320" s="47">
        <v>140.5</v>
      </c>
      <c r="J320" s="47">
        <v>0.02</v>
      </c>
      <c r="K320" s="47">
        <v>7.3</v>
      </c>
      <c r="L320" s="69"/>
      <c r="M320" s="80"/>
      <c r="N320" s="80"/>
      <c r="O320" s="80"/>
      <c r="P320" s="80"/>
      <c r="Q320" s="80"/>
    </row>
    <row r="321" s="76" customFormat="1" ht="24.95" customHeight="1" spans="1:17">
      <c r="A321" s="20">
        <v>315</v>
      </c>
      <c r="B321" s="38" t="s">
        <v>421</v>
      </c>
      <c r="C321" s="39" t="s">
        <v>432</v>
      </c>
      <c r="D321" s="39" t="s">
        <v>431</v>
      </c>
      <c r="E321" s="40">
        <v>290</v>
      </c>
      <c r="F321" s="39" t="s">
        <v>93</v>
      </c>
      <c r="G321" s="46">
        <v>130</v>
      </c>
      <c r="H321" s="47">
        <v>0.4</v>
      </c>
      <c r="I321" s="47">
        <v>53.3</v>
      </c>
      <c r="J321" s="47">
        <v>0.02</v>
      </c>
      <c r="K321" s="47">
        <v>2.76</v>
      </c>
      <c r="L321" s="69"/>
      <c r="M321" s="80"/>
      <c r="N321" s="80"/>
      <c r="O321" s="80"/>
      <c r="P321" s="80"/>
      <c r="Q321" s="80"/>
    </row>
    <row r="322" s="76" customFormat="1" ht="24.95" customHeight="1" spans="1:17">
      <c r="A322" s="20">
        <v>316</v>
      </c>
      <c r="B322" s="38" t="s">
        <v>421</v>
      </c>
      <c r="C322" s="39" t="s">
        <v>433</v>
      </c>
      <c r="D322" s="39" t="s">
        <v>431</v>
      </c>
      <c r="E322" s="40">
        <v>238</v>
      </c>
      <c r="F322" s="39" t="s">
        <v>93</v>
      </c>
      <c r="G322" s="46">
        <v>72</v>
      </c>
      <c r="H322" s="47">
        <v>0.3</v>
      </c>
      <c r="I322" s="47">
        <v>24.2</v>
      </c>
      <c r="J322" s="47">
        <v>0.02</v>
      </c>
      <c r="K322" s="47">
        <v>1.26</v>
      </c>
      <c r="L322" s="69"/>
      <c r="M322" s="80"/>
      <c r="N322" s="80"/>
      <c r="O322" s="80"/>
      <c r="P322" s="80"/>
      <c r="Q322" s="80"/>
    </row>
    <row r="323" s="76" customFormat="1" ht="24.95" customHeight="1" spans="1:17">
      <c r="A323" s="20">
        <v>317</v>
      </c>
      <c r="B323" s="38" t="s">
        <v>421</v>
      </c>
      <c r="C323" s="39" t="s">
        <v>434</v>
      </c>
      <c r="D323" s="39" t="s">
        <v>431</v>
      </c>
      <c r="E323" s="40">
        <v>270</v>
      </c>
      <c r="F323" s="39" t="s">
        <v>93</v>
      </c>
      <c r="G323" s="46">
        <v>168</v>
      </c>
      <c r="H323" s="47">
        <v>0.4</v>
      </c>
      <c r="I323" s="47">
        <v>64.1</v>
      </c>
      <c r="J323" s="47">
        <v>0.02</v>
      </c>
      <c r="K323" s="47">
        <v>3.33</v>
      </c>
      <c r="L323" s="69"/>
      <c r="M323" s="80"/>
      <c r="N323" s="80"/>
      <c r="O323" s="80"/>
      <c r="P323" s="80"/>
      <c r="Q323" s="80"/>
    </row>
    <row r="324" s="76" customFormat="1" ht="24.95" customHeight="1" spans="1:17">
      <c r="A324" s="20">
        <v>318</v>
      </c>
      <c r="B324" s="38" t="s">
        <v>421</v>
      </c>
      <c r="C324" s="39" t="s">
        <v>435</v>
      </c>
      <c r="D324" s="39" t="s">
        <v>436</v>
      </c>
      <c r="E324" s="40">
        <v>665</v>
      </c>
      <c r="F324" s="39" t="s">
        <v>93</v>
      </c>
      <c r="G324" s="46">
        <v>136</v>
      </c>
      <c r="H324" s="47">
        <v>7.5</v>
      </c>
      <c r="I324" s="47">
        <v>1022.3</v>
      </c>
      <c r="J324" s="47">
        <v>0.14</v>
      </c>
      <c r="K324" s="47">
        <v>19.56</v>
      </c>
      <c r="L324" s="69"/>
      <c r="M324" s="80"/>
      <c r="N324" s="80"/>
      <c r="O324" s="80"/>
      <c r="P324" s="80"/>
      <c r="Q324" s="80"/>
    </row>
    <row r="325" s="76" customFormat="1" ht="24.95" customHeight="1" spans="1:17">
      <c r="A325" s="20">
        <v>319</v>
      </c>
      <c r="B325" s="38" t="s">
        <v>421</v>
      </c>
      <c r="C325" s="39" t="s">
        <v>437</v>
      </c>
      <c r="D325" s="39" t="s">
        <v>431</v>
      </c>
      <c r="E325" s="40">
        <v>305</v>
      </c>
      <c r="F325" s="39" t="s">
        <v>93</v>
      </c>
      <c r="G325" s="46">
        <v>96</v>
      </c>
      <c r="H325" s="47">
        <v>0.4</v>
      </c>
      <c r="I325" s="47">
        <v>41.4</v>
      </c>
      <c r="J325" s="47">
        <v>0.02</v>
      </c>
      <c r="K325" s="47">
        <v>2.14</v>
      </c>
      <c r="L325" s="69"/>
      <c r="M325" s="80"/>
      <c r="N325" s="80"/>
      <c r="O325" s="80"/>
      <c r="P325" s="80"/>
      <c r="Q325" s="80"/>
    </row>
    <row r="326" s="76" customFormat="1" ht="24.95" customHeight="1" spans="1:17">
      <c r="A326" s="20">
        <v>320</v>
      </c>
      <c r="B326" s="38" t="s">
        <v>421</v>
      </c>
      <c r="C326" s="39" t="s">
        <v>438</v>
      </c>
      <c r="D326" s="39" t="s">
        <v>431</v>
      </c>
      <c r="E326" s="40">
        <v>220</v>
      </c>
      <c r="F326" s="39" t="s">
        <v>93</v>
      </c>
      <c r="G326" s="46">
        <v>312</v>
      </c>
      <c r="H326" s="47">
        <v>0.3</v>
      </c>
      <c r="I326" s="47">
        <v>97</v>
      </c>
      <c r="J326" s="47">
        <v>0.02</v>
      </c>
      <c r="K326" s="47">
        <v>5.05</v>
      </c>
      <c r="L326" s="69"/>
      <c r="M326" s="80"/>
      <c r="N326" s="80"/>
      <c r="O326" s="80"/>
      <c r="P326" s="80"/>
      <c r="Q326" s="80"/>
    </row>
    <row r="327" s="76" customFormat="1" ht="24.95" customHeight="1" spans="1:17">
      <c r="A327" s="20">
        <v>321</v>
      </c>
      <c r="B327" s="38" t="s">
        <v>421</v>
      </c>
      <c r="C327" s="39" t="s">
        <v>439</v>
      </c>
      <c r="D327" s="39" t="s">
        <v>431</v>
      </c>
      <c r="E327" s="40">
        <v>320</v>
      </c>
      <c r="F327" s="39" t="s">
        <v>93</v>
      </c>
      <c r="G327" s="46">
        <v>242</v>
      </c>
      <c r="H327" s="47">
        <v>0.5</v>
      </c>
      <c r="I327" s="47">
        <v>109.4</v>
      </c>
      <c r="J327" s="47">
        <v>0.02</v>
      </c>
      <c r="K327" s="47">
        <v>5.66</v>
      </c>
      <c r="L327" s="69"/>
      <c r="M327" s="80"/>
      <c r="N327" s="80"/>
      <c r="O327" s="80"/>
      <c r="P327" s="80"/>
      <c r="Q327" s="80"/>
    </row>
    <row r="328" s="76" customFormat="1" ht="24.95" customHeight="1" spans="1:17">
      <c r="A328" s="20">
        <v>322</v>
      </c>
      <c r="B328" s="38" t="s">
        <v>421</v>
      </c>
      <c r="C328" s="39" t="s">
        <v>440</v>
      </c>
      <c r="D328" s="39" t="s">
        <v>431</v>
      </c>
      <c r="E328" s="40">
        <v>390</v>
      </c>
      <c r="F328" s="39" t="s">
        <v>93</v>
      </c>
      <c r="G328" s="46">
        <v>128</v>
      </c>
      <c r="H328" s="47">
        <v>0.6</v>
      </c>
      <c r="I328" s="47">
        <v>70.5</v>
      </c>
      <c r="J328" s="47">
        <v>0.03</v>
      </c>
      <c r="K328" s="47">
        <v>3.64</v>
      </c>
      <c r="L328" s="69"/>
      <c r="M328" s="80"/>
      <c r="N328" s="80"/>
      <c r="O328" s="80"/>
      <c r="P328" s="80"/>
      <c r="Q328" s="80"/>
    </row>
    <row r="329" s="76" customFormat="1" ht="24.95" customHeight="1" spans="1:17">
      <c r="A329" s="20">
        <v>323</v>
      </c>
      <c r="B329" s="38" t="s">
        <v>421</v>
      </c>
      <c r="C329" s="39" t="s">
        <v>441</v>
      </c>
      <c r="D329" s="39" t="s">
        <v>431</v>
      </c>
      <c r="E329" s="40">
        <v>355</v>
      </c>
      <c r="F329" s="39" t="s">
        <v>93</v>
      </c>
      <c r="G329" s="46">
        <v>68</v>
      </c>
      <c r="H329" s="47">
        <v>0.5</v>
      </c>
      <c r="I329" s="47">
        <v>34.1</v>
      </c>
      <c r="J329" s="47">
        <v>0.03</v>
      </c>
      <c r="K329" s="47">
        <v>1.76</v>
      </c>
      <c r="L329" s="69"/>
      <c r="M329" s="80"/>
      <c r="N329" s="80"/>
      <c r="O329" s="80"/>
      <c r="P329" s="80"/>
      <c r="Q329" s="80"/>
    </row>
    <row r="330" s="76" customFormat="1" ht="24.95" customHeight="1" spans="1:17">
      <c r="A330" s="20">
        <v>324</v>
      </c>
      <c r="B330" s="38" t="s">
        <v>421</v>
      </c>
      <c r="C330" s="39" t="s">
        <v>442</v>
      </c>
      <c r="D330" s="39" t="s">
        <v>443</v>
      </c>
      <c r="E330" s="40">
        <v>370</v>
      </c>
      <c r="F330" s="39" t="s">
        <v>93</v>
      </c>
      <c r="G330" s="46">
        <v>24</v>
      </c>
      <c r="H330" s="47">
        <v>13.2</v>
      </c>
      <c r="I330" s="47">
        <v>317.2</v>
      </c>
      <c r="J330" s="47">
        <v>0.26</v>
      </c>
      <c r="K330" s="47">
        <v>6.24</v>
      </c>
      <c r="L330" s="69"/>
      <c r="M330" s="80"/>
      <c r="N330" s="80"/>
      <c r="O330" s="80"/>
      <c r="P330" s="80"/>
      <c r="Q330" s="80"/>
    </row>
    <row r="331" s="76" customFormat="1" ht="24.95" customHeight="1" spans="1:17">
      <c r="A331" s="20">
        <v>325</v>
      </c>
      <c r="B331" s="38" t="s">
        <v>421</v>
      </c>
      <c r="C331" s="39" t="s">
        <v>444</v>
      </c>
      <c r="D331" s="39" t="s">
        <v>445</v>
      </c>
      <c r="E331" s="40">
        <v>70</v>
      </c>
      <c r="F331" s="39" t="s">
        <v>93</v>
      </c>
      <c r="G331" s="46">
        <v>208</v>
      </c>
      <c r="H331" s="47">
        <v>0.5</v>
      </c>
      <c r="I331" s="47">
        <v>112</v>
      </c>
      <c r="J331" s="47">
        <v>0.01</v>
      </c>
      <c r="K331" s="47">
        <v>2.85</v>
      </c>
      <c r="L331" s="69"/>
      <c r="M331" s="80"/>
      <c r="N331" s="80"/>
      <c r="O331" s="80"/>
      <c r="P331" s="80"/>
      <c r="Q331" s="80"/>
    </row>
    <row r="332" s="76" customFormat="1" ht="24.95" customHeight="1" spans="1:17">
      <c r="A332" s="20">
        <v>326</v>
      </c>
      <c r="B332" s="38" t="s">
        <v>421</v>
      </c>
      <c r="C332" s="39" t="s">
        <v>446</v>
      </c>
      <c r="D332" s="39" t="s">
        <v>447</v>
      </c>
      <c r="E332" s="40">
        <v>325</v>
      </c>
      <c r="F332" s="39" t="s">
        <v>93</v>
      </c>
      <c r="G332" s="46">
        <v>56</v>
      </c>
      <c r="H332" s="47">
        <v>2.9</v>
      </c>
      <c r="I332" s="47">
        <v>160</v>
      </c>
      <c r="J332" s="47">
        <v>0.1</v>
      </c>
      <c r="K332" s="47">
        <v>5.51</v>
      </c>
      <c r="L332" s="69"/>
      <c r="M332" s="80"/>
      <c r="N332" s="80"/>
      <c r="O332" s="80"/>
      <c r="P332" s="80"/>
      <c r="Q332" s="80"/>
    </row>
    <row r="333" s="76" customFormat="1" ht="24.95" customHeight="1" spans="1:17">
      <c r="A333" s="20">
        <v>327</v>
      </c>
      <c r="B333" s="38" t="s">
        <v>421</v>
      </c>
      <c r="C333" s="39" t="s">
        <v>448</v>
      </c>
      <c r="D333" s="39" t="s">
        <v>449</v>
      </c>
      <c r="E333" s="40">
        <v>385</v>
      </c>
      <c r="F333" s="39" t="s">
        <v>93</v>
      </c>
      <c r="G333" s="46">
        <v>56</v>
      </c>
      <c r="H333" s="47">
        <v>4.6</v>
      </c>
      <c r="I333" s="47">
        <v>257.3</v>
      </c>
      <c r="J333" s="47">
        <v>0.16</v>
      </c>
      <c r="K333" s="47">
        <v>8.71</v>
      </c>
      <c r="L333" s="69"/>
      <c r="M333" s="80"/>
      <c r="N333" s="80"/>
      <c r="O333" s="80"/>
      <c r="P333" s="80"/>
      <c r="Q333" s="80"/>
    </row>
    <row r="334" s="76" customFormat="1" ht="24.95" customHeight="1" spans="1:17">
      <c r="A334" s="20">
        <v>328</v>
      </c>
      <c r="B334" s="38" t="s">
        <v>421</v>
      </c>
      <c r="C334" s="39" t="s">
        <v>450</v>
      </c>
      <c r="D334" s="39" t="s">
        <v>431</v>
      </c>
      <c r="E334" s="40">
        <v>220</v>
      </c>
      <c r="F334" s="39" t="s">
        <v>93</v>
      </c>
      <c r="G334" s="46">
        <v>52</v>
      </c>
      <c r="H334" s="47">
        <v>0.3</v>
      </c>
      <c r="I334" s="47">
        <v>16.2</v>
      </c>
      <c r="J334" s="47">
        <v>0.02</v>
      </c>
      <c r="K334" s="47">
        <v>0.84</v>
      </c>
      <c r="L334" s="69"/>
      <c r="M334" s="80"/>
      <c r="N334" s="80"/>
      <c r="O334" s="80"/>
      <c r="P334" s="80"/>
      <c r="Q334" s="80"/>
    </row>
    <row r="335" s="76" customFormat="1" ht="24.95" customHeight="1" spans="1:17">
      <c r="A335" s="20">
        <v>329</v>
      </c>
      <c r="B335" s="38" t="s">
        <v>421</v>
      </c>
      <c r="C335" s="39" t="s">
        <v>451</v>
      </c>
      <c r="D335" s="39" t="s">
        <v>431</v>
      </c>
      <c r="E335" s="40">
        <v>485</v>
      </c>
      <c r="F335" s="39" t="s">
        <v>93</v>
      </c>
      <c r="G335" s="46">
        <v>32</v>
      </c>
      <c r="H335" s="47">
        <v>0.7</v>
      </c>
      <c r="I335" s="47">
        <v>21.9</v>
      </c>
      <c r="J335" s="47">
        <v>0.04</v>
      </c>
      <c r="K335" s="47">
        <v>1.13</v>
      </c>
      <c r="L335" s="69"/>
      <c r="M335" s="80"/>
      <c r="N335" s="80"/>
      <c r="O335" s="80"/>
      <c r="P335" s="80"/>
      <c r="Q335" s="80"/>
    </row>
    <row r="336" s="76" customFormat="1" ht="24.95" customHeight="1" spans="1:17">
      <c r="A336" s="20">
        <v>330</v>
      </c>
      <c r="B336" s="38" t="s">
        <v>421</v>
      </c>
      <c r="C336" s="39" t="s">
        <v>452</v>
      </c>
      <c r="D336" s="39" t="s">
        <v>431</v>
      </c>
      <c r="E336" s="40">
        <v>440</v>
      </c>
      <c r="F336" s="39" t="s">
        <v>93</v>
      </c>
      <c r="G336" s="46">
        <v>5</v>
      </c>
      <c r="H336" s="47">
        <v>0.6</v>
      </c>
      <c r="I336" s="47">
        <v>3.1</v>
      </c>
      <c r="J336" s="47">
        <v>0.03</v>
      </c>
      <c r="K336" s="47">
        <v>0.16</v>
      </c>
      <c r="L336" s="69"/>
      <c r="M336" s="80"/>
      <c r="N336" s="80"/>
      <c r="O336" s="80"/>
      <c r="P336" s="80"/>
      <c r="Q336" s="80"/>
    </row>
    <row r="337" s="76" customFormat="1" ht="24.95" customHeight="1" spans="1:17">
      <c r="A337" s="20">
        <v>331</v>
      </c>
      <c r="B337" s="38" t="s">
        <v>421</v>
      </c>
      <c r="C337" s="39" t="s">
        <v>453</v>
      </c>
      <c r="D337" s="39" t="s">
        <v>431</v>
      </c>
      <c r="E337" s="40">
        <v>320</v>
      </c>
      <c r="F337" s="39" t="s">
        <v>93</v>
      </c>
      <c r="G337" s="46">
        <v>2</v>
      </c>
      <c r="H337" s="47">
        <v>0.5</v>
      </c>
      <c r="I337" s="47">
        <v>0.9</v>
      </c>
      <c r="J337" s="47">
        <v>0.02</v>
      </c>
      <c r="K337" s="47">
        <v>0.05</v>
      </c>
      <c r="L337" s="69"/>
      <c r="M337" s="80"/>
      <c r="N337" s="80"/>
      <c r="O337" s="80"/>
      <c r="P337" s="80"/>
      <c r="Q337" s="80"/>
    </row>
    <row r="338" s="76" customFormat="1" ht="24.95" customHeight="1" spans="1:17">
      <c r="A338" s="20">
        <v>332</v>
      </c>
      <c r="B338" s="38" t="s">
        <v>421</v>
      </c>
      <c r="C338" s="39" t="s">
        <v>454</v>
      </c>
      <c r="D338" s="39" t="s">
        <v>431</v>
      </c>
      <c r="E338" s="40">
        <v>235</v>
      </c>
      <c r="F338" s="39" t="s">
        <v>93</v>
      </c>
      <c r="G338" s="46">
        <v>106</v>
      </c>
      <c r="H338" s="47">
        <v>0.3</v>
      </c>
      <c r="I338" s="47">
        <v>31.8</v>
      </c>
      <c r="J338" s="47">
        <v>0.02</v>
      </c>
      <c r="K338" s="47">
        <v>2.12</v>
      </c>
      <c r="L338" s="69"/>
      <c r="M338" s="80"/>
      <c r="N338" s="80"/>
      <c r="O338" s="80"/>
      <c r="P338" s="80"/>
      <c r="Q338" s="80"/>
    </row>
    <row r="339" s="76" customFormat="1" ht="24.95" customHeight="1" spans="1:17">
      <c r="A339" s="20">
        <v>333</v>
      </c>
      <c r="B339" s="38" t="s">
        <v>421</v>
      </c>
      <c r="C339" s="39" t="s">
        <v>455</v>
      </c>
      <c r="D339" s="39" t="s">
        <v>431</v>
      </c>
      <c r="E339" s="40">
        <v>270</v>
      </c>
      <c r="F339" s="39" t="s">
        <v>93</v>
      </c>
      <c r="G339" s="46">
        <v>4</v>
      </c>
      <c r="H339" s="47">
        <v>0.4</v>
      </c>
      <c r="I339" s="47">
        <v>1.5</v>
      </c>
      <c r="J339" s="47">
        <v>0.02</v>
      </c>
      <c r="K339" s="47">
        <v>0.08</v>
      </c>
      <c r="L339" s="69"/>
      <c r="M339" s="80"/>
      <c r="N339" s="80"/>
      <c r="O339" s="80"/>
      <c r="P339" s="80"/>
      <c r="Q339" s="80"/>
    </row>
    <row r="340" s="76" customFormat="1" ht="24.95" customHeight="1" spans="1:17">
      <c r="A340" s="20">
        <v>334</v>
      </c>
      <c r="B340" s="38" t="s">
        <v>421</v>
      </c>
      <c r="C340" s="39" t="s">
        <v>456</v>
      </c>
      <c r="D340" s="39" t="s">
        <v>431</v>
      </c>
      <c r="E340" s="40">
        <v>200</v>
      </c>
      <c r="F340" s="39" t="s">
        <v>93</v>
      </c>
      <c r="G340" s="46">
        <v>2</v>
      </c>
      <c r="H340" s="47">
        <v>0.3</v>
      </c>
      <c r="I340" s="47">
        <v>0.6</v>
      </c>
      <c r="J340" s="47">
        <v>0.01</v>
      </c>
      <c r="K340" s="47">
        <v>0.03</v>
      </c>
      <c r="L340" s="71"/>
      <c r="M340" s="80"/>
      <c r="N340" s="80"/>
      <c r="O340" s="80"/>
      <c r="P340" s="80"/>
      <c r="Q340" s="80"/>
    </row>
    <row r="341" s="76" customFormat="1" ht="24.95" customHeight="1" spans="1:17">
      <c r="A341" s="20">
        <v>335</v>
      </c>
      <c r="B341" s="38" t="s">
        <v>457</v>
      </c>
      <c r="C341" s="39" t="s">
        <v>458</v>
      </c>
      <c r="D341" s="39" t="s">
        <v>396</v>
      </c>
      <c r="E341" s="40">
        <v>2835.9</v>
      </c>
      <c r="F341" s="39" t="s">
        <v>93</v>
      </c>
      <c r="G341" s="46">
        <v>1</v>
      </c>
      <c r="H341" s="64">
        <v>206.6</v>
      </c>
      <c r="I341" s="64">
        <v>206.6</v>
      </c>
      <c r="J341" s="64">
        <v>9.75</v>
      </c>
      <c r="K341" s="64">
        <v>9.75</v>
      </c>
      <c r="L341" s="65">
        <v>77.52</v>
      </c>
      <c r="M341" s="80"/>
      <c r="N341" s="80"/>
      <c r="O341" s="80"/>
      <c r="P341" s="80"/>
      <c r="Q341" s="80"/>
    </row>
    <row r="342" s="76" customFormat="1" ht="24.95" customHeight="1" spans="1:17">
      <c r="A342" s="20">
        <v>336</v>
      </c>
      <c r="B342" s="38" t="s">
        <v>457</v>
      </c>
      <c r="C342" s="39" t="s">
        <v>459</v>
      </c>
      <c r="D342" s="39" t="s">
        <v>396</v>
      </c>
      <c r="E342" s="40">
        <v>2835.9</v>
      </c>
      <c r="F342" s="39" t="s">
        <v>93</v>
      </c>
      <c r="G342" s="46">
        <v>1</v>
      </c>
      <c r="H342" s="64">
        <v>206.6</v>
      </c>
      <c r="I342" s="64">
        <v>206.6</v>
      </c>
      <c r="J342" s="64">
        <v>9.75</v>
      </c>
      <c r="K342" s="64">
        <v>9.75</v>
      </c>
      <c r="L342" s="65">
        <v>77.52</v>
      </c>
      <c r="M342" s="80"/>
      <c r="N342" s="80"/>
      <c r="O342" s="80"/>
      <c r="P342" s="80"/>
      <c r="Q342" s="80"/>
    </row>
    <row r="343" s="76" customFormat="1" ht="24.95" customHeight="1" spans="1:17">
      <c r="A343" s="20">
        <v>337</v>
      </c>
      <c r="B343" s="38" t="s">
        <v>457</v>
      </c>
      <c r="C343" s="39" t="s">
        <v>460</v>
      </c>
      <c r="D343" s="39" t="s">
        <v>396</v>
      </c>
      <c r="E343" s="40">
        <v>2895.9</v>
      </c>
      <c r="F343" s="39" t="s">
        <v>93</v>
      </c>
      <c r="G343" s="46">
        <v>2</v>
      </c>
      <c r="H343" s="64">
        <v>223.1</v>
      </c>
      <c r="I343" s="64">
        <v>446.3</v>
      </c>
      <c r="J343" s="64">
        <v>10.61</v>
      </c>
      <c r="K343" s="64">
        <v>21.22</v>
      </c>
      <c r="L343" s="65">
        <v>164.4</v>
      </c>
      <c r="M343" s="80"/>
      <c r="N343" s="80"/>
      <c r="O343" s="80"/>
      <c r="P343" s="80"/>
      <c r="Q343" s="80"/>
    </row>
    <row r="344" s="76" customFormat="1" ht="24.95" customHeight="1" spans="1:17">
      <c r="A344" s="20">
        <v>338</v>
      </c>
      <c r="B344" s="38" t="s">
        <v>457</v>
      </c>
      <c r="C344" s="39" t="s">
        <v>461</v>
      </c>
      <c r="D344" s="39" t="s">
        <v>396</v>
      </c>
      <c r="E344" s="40">
        <v>2845.7</v>
      </c>
      <c r="F344" s="39" t="s">
        <v>93</v>
      </c>
      <c r="G344" s="46">
        <v>2</v>
      </c>
      <c r="H344" s="64">
        <v>220.5</v>
      </c>
      <c r="I344" s="64">
        <v>441.1</v>
      </c>
      <c r="J344" s="64">
        <v>10.49</v>
      </c>
      <c r="K344" s="64">
        <v>20.98</v>
      </c>
      <c r="L344" s="65">
        <v>160.88</v>
      </c>
      <c r="M344" s="80"/>
      <c r="N344" s="80"/>
      <c r="O344" s="80"/>
      <c r="P344" s="80"/>
      <c r="Q344" s="80"/>
    </row>
    <row r="345" s="76" customFormat="1" ht="24.95" customHeight="1" spans="1:17">
      <c r="A345" s="20">
        <v>339</v>
      </c>
      <c r="B345" s="38" t="s">
        <v>457</v>
      </c>
      <c r="C345" s="39" t="s">
        <v>462</v>
      </c>
      <c r="D345" s="39" t="s">
        <v>396</v>
      </c>
      <c r="E345" s="40">
        <v>2848.5</v>
      </c>
      <c r="F345" s="39" t="s">
        <v>93</v>
      </c>
      <c r="G345" s="46">
        <v>2</v>
      </c>
      <c r="H345" s="64">
        <v>221.9</v>
      </c>
      <c r="I345" s="64">
        <v>443.8</v>
      </c>
      <c r="J345" s="64">
        <v>10.56</v>
      </c>
      <c r="K345" s="64">
        <v>21.12</v>
      </c>
      <c r="L345" s="65">
        <v>161.92</v>
      </c>
      <c r="M345" s="80"/>
      <c r="N345" s="80"/>
      <c r="O345" s="80"/>
      <c r="P345" s="80"/>
      <c r="Q345" s="80"/>
    </row>
    <row r="346" s="76" customFormat="1" ht="24.95" customHeight="1" spans="1:17">
      <c r="A346" s="20">
        <v>340</v>
      </c>
      <c r="B346" s="38" t="s">
        <v>457</v>
      </c>
      <c r="C346" s="39" t="s">
        <v>463</v>
      </c>
      <c r="D346" s="39" t="s">
        <v>396</v>
      </c>
      <c r="E346" s="40">
        <v>3563.2</v>
      </c>
      <c r="F346" s="39" t="s">
        <v>93</v>
      </c>
      <c r="G346" s="46">
        <v>2</v>
      </c>
      <c r="H346" s="64">
        <v>273.9</v>
      </c>
      <c r="I346" s="64">
        <v>547.8</v>
      </c>
      <c r="J346" s="64">
        <v>13.01</v>
      </c>
      <c r="K346" s="64">
        <v>26.02</v>
      </c>
      <c r="L346" s="65">
        <v>203.28</v>
      </c>
      <c r="M346" s="80"/>
      <c r="N346" s="80"/>
      <c r="O346" s="80"/>
      <c r="P346" s="80"/>
      <c r="Q346" s="80"/>
    </row>
    <row r="347" s="76" customFormat="1" ht="24.95" customHeight="1" spans="1:17">
      <c r="A347" s="20">
        <v>341</v>
      </c>
      <c r="B347" s="38" t="s">
        <v>457</v>
      </c>
      <c r="C347" s="39" t="s">
        <v>464</v>
      </c>
      <c r="D347" s="39" t="s">
        <v>396</v>
      </c>
      <c r="E347" s="40">
        <v>3563.2</v>
      </c>
      <c r="F347" s="39" t="s">
        <v>93</v>
      </c>
      <c r="G347" s="46">
        <v>2</v>
      </c>
      <c r="H347" s="64">
        <v>273.3</v>
      </c>
      <c r="I347" s="64">
        <v>546.7</v>
      </c>
      <c r="J347" s="64">
        <v>12.98</v>
      </c>
      <c r="K347" s="64">
        <v>25.97</v>
      </c>
      <c r="L347" s="65">
        <v>203.28</v>
      </c>
      <c r="M347" s="80"/>
      <c r="N347" s="80"/>
      <c r="O347" s="80"/>
      <c r="P347" s="80"/>
      <c r="Q347" s="80"/>
    </row>
    <row r="348" s="76" customFormat="1" ht="24.95" customHeight="1" spans="1:17">
      <c r="A348" s="20">
        <v>342</v>
      </c>
      <c r="B348" s="38" t="s">
        <v>457</v>
      </c>
      <c r="C348" s="39" t="s">
        <v>465</v>
      </c>
      <c r="D348" s="39" t="s">
        <v>396</v>
      </c>
      <c r="E348" s="40">
        <v>2867.8</v>
      </c>
      <c r="F348" s="39" t="s">
        <v>93</v>
      </c>
      <c r="G348" s="46">
        <v>8</v>
      </c>
      <c r="H348" s="64">
        <v>220.7</v>
      </c>
      <c r="I348" s="64">
        <v>1765.8</v>
      </c>
      <c r="J348" s="64">
        <v>10.49</v>
      </c>
      <c r="K348" s="64">
        <v>83.95</v>
      </c>
      <c r="L348" s="65">
        <v>651.68</v>
      </c>
      <c r="M348" s="80"/>
      <c r="N348" s="80"/>
      <c r="O348" s="80"/>
      <c r="P348" s="80"/>
      <c r="Q348" s="80"/>
    </row>
    <row r="349" s="76" customFormat="1" ht="24.95" customHeight="1" spans="1:17">
      <c r="A349" s="20">
        <v>343</v>
      </c>
      <c r="B349" s="38" t="s">
        <v>457</v>
      </c>
      <c r="C349" s="39" t="s">
        <v>466</v>
      </c>
      <c r="D349" s="39" t="s">
        <v>396</v>
      </c>
      <c r="E349" s="40">
        <v>2867.8</v>
      </c>
      <c r="F349" s="39" t="s">
        <v>93</v>
      </c>
      <c r="G349" s="46">
        <v>8</v>
      </c>
      <c r="H349" s="64">
        <v>220.4</v>
      </c>
      <c r="I349" s="64">
        <v>1762.9</v>
      </c>
      <c r="J349" s="64">
        <v>10.47</v>
      </c>
      <c r="K349" s="64">
        <v>83.79</v>
      </c>
      <c r="L349" s="65">
        <v>651.68</v>
      </c>
      <c r="M349" s="80"/>
      <c r="N349" s="80"/>
      <c r="O349" s="80"/>
      <c r="P349" s="80"/>
      <c r="Q349" s="80"/>
    </row>
    <row r="350" s="76" customFormat="1" ht="24.95" customHeight="1" spans="1:17">
      <c r="A350" s="20">
        <v>344</v>
      </c>
      <c r="B350" s="38" t="s">
        <v>457</v>
      </c>
      <c r="C350" s="39" t="s">
        <v>467</v>
      </c>
      <c r="D350" s="39" t="s">
        <v>396</v>
      </c>
      <c r="E350" s="40">
        <v>3911</v>
      </c>
      <c r="F350" s="39" t="s">
        <v>93</v>
      </c>
      <c r="G350" s="46">
        <v>1</v>
      </c>
      <c r="H350" s="64">
        <v>308.2</v>
      </c>
      <c r="I350" s="64">
        <v>308.2</v>
      </c>
      <c r="J350" s="64">
        <v>14.57</v>
      </c>
      <c r="K350" s="64">
        <v>14.57</v>
      </c>
      <c r="L350" s="65">
        <v>108.16</v>
      </c>
      <c r="M350" s="80"/>
      <c r="N350" s="80"/>
      <c r="O350" s="80"/>
      <c r="P350" s="80"/>
      <c r="Q350" s="80"/>
    </row>
    <row r="351" s="76" customFormat="1" ht="24.95" customHeight="1" spans="1:17">
      <c r="A351" s="20">
        <v>345</v>
      </c>
      <c r="B351" s="38" t="s">
        <v>457</v>
      </c>
      <c r="C351" s="39" t="s">
        <v>468</v>
      </c>
      <c r="D351" s="39" t="s">
        <v>396</v>
      </c>
      <c r="E351" s="40">
        <v>3824.8</v>
      </c>
      <c r="F351" s="39" t="s">
        <v>93</v>
      </c>
      <c r="G351" s="46">
        <v>1</v>
      </c>
      <c r="H351" s="64">
        <v>287.3</v>
      </c>
      <c r="I351" s="64">
        <v>287.3</v>
      </c>
      <c r="J351" s="64">
        <v>13.48</v>
      </c>
      <c r="K351" s="64">
        <v>13.48</v>
      </c>
      <c r="L351" s="65">
        <v>106.98</v>
      </c>
      <c r="M351" s="80"/>
      <c r="N351" s="80"/>
      <c r="O351" s="80"/>
      <c r="P351" s="80"/>
      <c r="Q351" s="80"/>
    </row>
    <row r="352" s="76" customFormat="1" ht="24.95" customHeight="1" spans="1:17">
      <c r="A352" s="20">
        <v>346</v>
      </c>
      <c r="B352" s="38" t="s">
        <v>457</v>
      </c>
      <c r="C352" s="39" t="s">
        <v>469</v>
      </c>
      <c r="D352" s="39" t="s">
        <v>396</v>
      </c>
      <c r="E352" s="40">
        <v>3763.7</v>
      </c>
      <c r="F352" s="39" t="s">
        <v>93</v>
      </c>
      <c r="G352" s="46">
        <v>1</v>
      </c>
      <c r="H352" s="64">
        <v>285.4</v>
      </c>
      <c r="I352" s="64">
        <v>285.4</v>
      </c>
      <c r="J352" s="64">
        <v>13.4</v>
      </c>
      <c r="K352" s="64">
        <v>13.4</v>
      </c>
      <c r="L352" s="65">
        <v>105.3</v>
      </c>
      <c r="M352" s="80"/>
      <c r="N352" s="80"/>
      <c r="O352" s="80"/>
      <c r="P352" s="80"/>
      <c r="Q352" s="80"/>
    </row>
    <row r="353" s="76" customFormat="1" ht="24.95" customHeight="1" spans="1:17">
      <c r="A353" s="20">
        <v>347</v>
      </c>
      <c r="B353" s="38" t="s">
        <v>457</v>
      </c>
      <c r="C353" s="39" t="s">
        <v>470</v>
      </c>
      <c r="D353" s="39" t="s">
        <v>396</v>
      </c>
      <c r="E353" s="40">
        <v>3675.7</v>
      </c>
      <c r="F353" s="39" t="s">
        <v>93</v>
      </c>
      <c r="G353" s="46">
        <v>1</v>
      </c>
      <c r="H353" s="64">
        <v>269.9</v>
      </c>
      <c r="I353" s="64">
        <v>269.9</v>
      </c>
      <c r="J353" s="64">
        <v>12.62</v>
      </c>
      <c r="K353" s="64">
        <v>12.62</v>
      </c>
      <c r="L353" s="65">
        <v>103.78</v>
      </c>
      <c r="M353" s="80"/>
      <c r="N353" s="80"/>
      <c r="O353" s="80"/>
      <c r="P353" s="80"/>
      <c r="Q353" s="80"/>
    </row>
    <row r="354" s="76" customFormat="1" ht="24.95" customHeight="1" spans="1:17">
      <c r="A354" s="20">
        <v>348</v>
      </c>
      <c r="B354" s="38" t="s">
        <v>457</v>
      </c>
      <c r="C354" s="39" t="s">
        <v>471</v>
      </c>
      <c r="D354" s="39" t="s">
        <v>396</v>
      </c>
      <c r="E354" s="40">
        <v>3541.2</v>
      </c>
      <c r="F354" s="39" t="s">
        <v>93</v>
      </c>
      <c r="G354" s="46">
        <v>1</v>
      </c>
      <c r="H354" s="64">
        <v>264.7</v>
      </c>
      <c r="I354" s="64">
        <v>264.7</v>
      </c>
      <c r="J354" s="64">
        <v>12.41</v>
      </c>
      <c r="K354" s="64">
        <v>12.41</v>
      </c>
      <c r="L354" s="65">
        <v>98.64</v>
      </c>
      <c r="M354" s="80"/>
      <c r="N354" s="80"/>
      <c r="O354" s="80"/>
      <c r="P354" s="80"/>
      <c r="Q354" s="80"/>
    </row>
    <row r="355" s="76" customFormat="1" ht="24.95" customHeight="1" spans="1:17">
      <c r="A355" s="20">
        <v>349</v>
      </c>
      <c r="B355" s="38" t="s">
        <v>457</v>
      </c>
      <c r="C355" s="39" t="s">
        <v>472</v>
      </c>
      <c r="D355" s="39" t="s">
        <v>396</v>
      </c>
      <c r="E355" s="40">
        <v>3083.9</v>
      </c>
      <c r="F355" s="39" t="s">
        <v>93</v>
      </c>
      <c r="G355" s="46">
        <v>1</v>
      </c>
      <c r="H355" s="64">
        <v>232.7</v>
      </c>
      <c r="I355" s="64">
        <v>232.7</v>
      </c>
      <c r="J355" s="64">
        <v>10.91</v>
      </c>
      <c r="K355" s="64">
        <v>10.91</v>
      </c>
      <c r="L355" s="65">
        <v>84.96</v>
      </c>
      <c r="M355" s="80"/>
      <c r="N355" s="80"/>
      <c r="O355" s="80"/>
      <c r="P355" s="80"/>
      <c r="Q355" s="80"/>
    </row>
    <row r="356" s="76" customFormat="1" ht="24.95" customHeight="1" spans="1:17">
      <c r="A356" s="20">
        <v>350</v>
      </c>
      <c r="B356" s="38" t="s">
        <v>457</v>
      </c>
      <c r="C356" s="39" t="s">
        <v>473</v>
      </c>
      <c r="D356" s="39" t="s">
        <v>396</v>
      </c>
      <c r="E356" s="40">
        <v>2944.3</v>
      </c>
      <c r="F356" s="39" t="s">
        <v>93</v>
      </c>
      <c r="G356" s="46">
        <v>1</v>
      </c>
      <c r="H356" s="64">
        <v>218.1</v>
      </c>
      <c r="I356" s="64">
        <v>218.1</v>
      </c>
      <c r="J356" s="64">
        <v>10.2</v>
      </c>
      <c r="K356" s="64">
        <v>10.2</v>
      </c>
      <c r="L356" s="65">
        <v>81.12</v>
      </c>
      <c r="M356" s="80"/>
      <c r="N356" s="80"/>
      <c r="O356" s="80"/>
      <c r="P356" s="80"/>
      <c r="Q356" s="80"/>
    </row>
    <row r="357" s="76" customFormat="1" ht="24.95" customHeight="1" spans="1:17">
      <c r="A357" s="20">
        <v>351</v>
      </c>
      <c r="B357" s="38" t="s">
        <v>457</v>
      </c>
      <c r="C357" s="39" t="s">
        <v>474</v>
      </c>
      <c r="D357" s="39" t="s">
        <v>396</v>
      </c>
      <c r="E357" s="40">
        <v>3029.2</v>
      </c>
      <c r="F357" s="39" t="s">
        <v>93</v>
      </c>
      <c r="G357" s="46">
        <v>1</v>
      </c>
      <c r="H357" s="64">
        <v>220.5</v>
      </c>
      <c r="I357" s="64">
        <v>220.5</v>
      </c>
      <c r="J357" s="64">
        <v>10.29</v>
      </c>
      <c r="K357" s="64">
        <v>10.29</v>
      </c>
      <c r="L357" s="65">
        <v>83.44</v>
      </c>
      <c r="M357" s="80"/>
      <c r="N357" s="80"/>
      <c r="O357" s="80"/>
      <c r="P357" s="80"/>
      <c r="Q357" s="80"/>
    </row>
    <row r="358" s="76" customFormat="1" ht="24.95" customHeight="1" spans="1:17">
      <c r="A358" s="20">
        <v>352</v>
      </c>
      <c r="B358" s="38" t="s">
        <v>457</v>
      </c>
      <c r="C358" s="39" t="s">
        <v>475</v>
      </c>
      <c r="D358" s="39" t="s">
        <v>396</v>
      </c>
      <c r="E358" s="40">
        <v>3031.8</v>
      </c>
      <c r="F358" s="39" t="s">
        <v>93</v>
      </c>
      <c r="G358" s="46">
        <v>1</v>
      </c>
      <c r="H358" s="64">
        <v>220.2</v>
      </c>
      <c r="I358" s="64">
        <v>220.2</v>
      </c>
      <c r="J358" s="64">
        <v>10.28</v>
      </c>
      <c r="K358" s="64">
        <v>10.28</v>
      </c>
      <c r="L358" s="65">
        <v>83.44</v>
      </c>
      <c r="M358" s="80"/>
      <c r="N358" s="80"/>
      <c r="O358" s="80"/>
      <c r="P358" s="80"/>
      <c r="Q358" s="80"/>
    </row>
    <row r="359" s="76" customFormat="1" ht="24.95" customHeight="1" spans="1:17">
      <c r="A359" s="20">
        <v>353</v>
      </c>
      <c r="B359" s="38" t="s">
        <v>457</v>
      </c>
      <c r="C359" s="39" t="s">
        <v>476</v>
      </c>
      <c r="D359" s="39" t="s">
        <v>396</v>
      </c>
      <c r="E359" s="40">
        <v>3029.2</v>
      </c>
      <c r="F359" s="39" t="s">
        <v>93</v>
      </c>
      <c r="G359" s="46">
        <v>1</v>
      </c>
      <c r="H359" s="64">
        <v>220.5</v>
      </c>
      <c r="I359" s="64">
        <v>220.5</v>
      </c>
      <c r="J359" s="64">
        <v>10.29</v>
      </c>
      <c r="K359" s="64">
        <v>10.29</v>
      </c>
      <c r="L359" s="65">
        <v>83.46</v>
      </c>
      <c r="M359" s="80"/>
      <c r="N359" s="80"/>
      <c r="O359" s="80"/>
      <c r="P359" s="80"/>
      <c r="Q359" s="80"/>
    </row>
    <row r="360" s="76" customFormat="1" ht="24.95" customHeight="1" spans="1:17">
      <c r="A360" s="20">
        <v>354</v>
      </c>
      <c r="B360" s="38" t="s">
        <v>457</v>
      </c>
      <c r="C360" s="39" t="s">
        <v>477</v>
      </c>
      <c r="D360" s="39" t="s">
        <v>396</v>
      </c>
      <c r="E360" s="40">
        <v>2900</v>
      </c>
      <c r="F360" s="39" t="s">
        <v>93</v>
      </c>
      <c r="G360" s="46">
        <v>1</v>
      </c>
      <c r="H360" s="64">
        <v>216.9</v>
      </c>
      <c r="I360" s="64">
        <v>216.9</v>
      </c>
      <c r="J360" s="64">
        <v>10.15</v>
      </c>
      <c r="K360" s="64">
        <v>10.15</v>
      </c>
      <c r="L360" s="65">
        <v>79.86</v>
      </c>
      <c r="M360" s="80"/>
      <c r="N360" s="80"/>
      <c r="O360" s="80"/>
      <c r="P360" s="80"/>
      <c r="Q360" s="80"/>
    </row>
    <row r="361" s="76" customFormat="1" ht="24.95" customHeight="1" spans="1:17">
      <c r="A361" s="20">
        <v>355</v>
      </c>
      <c r="B361" s="38" t="s">
        <v>457</v>
      </c>
      <c r="C361" s="39" t="s">
        <v>478</v>
      </c>
      <c r="D361" s="39" t="s">
        <v>396</v>
      </c>
      <c r="E361" s="40">
        <v>2900.2</v>
      </c>
      <c r="F361" s="39" t="s">
        <v>93</v>
      </c>
      <c r="G361" s="46">
        <v>1</v>
      </c>
      <c r="H361" s="64">
        <v>214.5</v>
      </c>
      <c r="I361" s="64">
        <v>214.5</v>
      </c>
      <c r="J361" s="64">
        <v>10.03</v>
      </c>
      <c r="K361" s="64">
        <v>10.03</v>
      </c>
      <c r="L361" s="65">
        <v>79.92</v>
      </c>
      <c r="M361" s="80"/>
      <c r="N361" s="80"/>
      <c r="O361" s="80"/>
      <c r="P361" s="80"/>
      <c r="Q361" s="80"/>
    </row>
    <row r="362" s="76" customFormat="1" ht="24.95" customHeight="1" spans="1:17">
      <c r="A362" s="20">
        <v>356</v>
      </c>
      <c r="B362" s="38" t="s">
        <v>457</v>
      </c>
      <c r="C362" s="39" t="s">
        <v>479</v>
      </c>
      <c r="D362" s="39" t="s">
        <v>396</v>
      </c>
      <c r="E362" s="40">
        <v>2900.2</v>
      </c>
      <c r="F362" s="39" t="s">
        <v>93</v>
      </c>
      <c r="G362" s="46">
        <v>1</v>
      </c>
      <c r="H362" s="64">
        <v>216.9</v>
      </c>
      <c r="I362" s="64">
        <v>216.9</v>
      </c>
      <c r="J362" s="64">
        <v>10.15</v>
      </c>
      <c r="K362" s="64">
        <v>10.15</v>
      </c>
      <c r="L362" s="65">
        <v>79.92</v>
      </c>
      <c r="M362" s="80"/>
      <c r="N362" s="80"/>
      <c r="O362" s="80"/>
      <c r="P362" s="80"/>
      <c r="Q362" s="80"/>
    </row>
    <row r="363" s="76" customFormat="1" ht="24.95" customHeight="1" spans="1:17">
      <c r="A363" s="20">
        <v>357</v>
      </c>
      <c r="B363" s="38" t="s">
        <v>480</v>
      </c>
      <c r="C363" s="39" t="s">
        <v>481</v>
      </c>
      <c r="D363" s="39" t="s">
        <v>482</v>
      </c>
      <c r="E363" s="40">
        <v>2430</v>
      </c>
      <c r="F363" s="39" t="s">
        <v>93</v>
      </c>
      <c r="G363" s="46">
        <v>1</v>
      </c>
      <c r="H363" s="64">
        <v>103.8</v>
      </c>
      <c r="I363" s="64">
        <v>103.8</v>
      </c>
      <c r="J363" s="64">
        <v>3.41</v>
      </c>
      <c r="K363" s="64">
        <v>3.41</v>
      </c>
      <c r="L363" s="38"/>
      <c r="M363" s="80"/>
      <c r="N363" s="80"/>
      <c r="O363" s="80"/>
      <c r="P363" s="80"/>
      <c r="Q363" s="80"/>
    </row>
    <row r="364" s="76" customFormat="1" ht="24.95" customHeight="1" spans="1:17">
      <c r="A364" s="20">
        <v>358</v>
      </c>
      <c r="B364" s="38" t="s">
        <v>480</v>
      </c>
      <c r="C364" s="39" t="s">
        <v>483</v>
      </c>
      <c r="D364" s="39" t="s">
        <v>482</v>
      </c>
      <c r="E364" s="40">
        <v>2430</v>
      </c>
      <c r="F364" s="39" t="s">
        <v>93</v>
      </c>
      <c r="G364" s="46">
        <v>1</v>
      </c>
      <c r="H364" s="64">
        <v>103.8</v>
      </c>
      <c r="I364" s="64">
        <v>103.8</v>
      </c>
      <c r="J364" s="64">
        <v>3.41</v>
      </c>
      <c r="K364" s="64">
        <v>3.41</v>
      </c>
      <c r="L364" s="38"/>
      <c r="M364" s="80"/>
      <c r="N364" s="80"/>
      <c r="O364" s="80"/>
      <c r="P364" s="80"/>
      <c r="Q364" s="80"/>
    </row>
    <row r="365" s="76" customFormat="1" ht="24.95" customHeight="1" spans="1:17">
      <c r="A365" s="20">
        <v>359</v>
      </c>
      <c r="B365" s="38" t="s">
        <v>480</v>
      </c>
      <c r="C365" s="39" t="s">
        <v>484</v>
      </c>
      <c r="D365" s="39" t="s">
        <v>482</v>
      </c>
      <c r="E365" s="40">
        <v>2430</v>
      </c>
      <c r="F365" s="39" t="s">
        <v>93</v>
      </c>
      <c r="G365" s="46">
        <v>3</v>
      </c>
      <c r="H365" s="64">
        <v>103.8</v>
      </c>
      <c r="I365" s="64">
        <v>311.5</v>
      </c>
      <c r="J365" s="64">
        <v>3.41</v>
      </c>
      <c r="K365" s="64">
        <v>10.22</v>
      </c>
      <c r="L365" s="38"/>
      <c r="M365" s="80"/>
      <c r="N365" s="80"/>
      <c r="O365" s="80"/>
      <c r="P365" s="80"/>
      <c r="Q365" s="80"/>
    </row>
    <row r="366" s="76" customFormat="1" ht="24.95" customHeight="1" spans="1:17">
      <c r="A366" s="20">
        <v>360</v>
      </c>
      <c r="B366" s="38" t="s">
        <v>480</v>
      </c>
      <c r="C366" s="39" t="s">
        <v>485</v>
      </c>
      <c r="D366" s="39" t="s">
        <v>482</v>
      </c>
      <c r="E366" s="40">
        <v>2430</v>
      </c>
      <c r="F366" s="39" t="s">
        <v>93</v>
      </c>
      <c r="G366" s="46">
        <v>3</v>
      </c>
      <c r="H366" s="64">
        <v>103.8</v>
      </c>
      <c r="I366" s="64">
        <v>311.5</v>
      </c>
      <c r="J366" s="64">
        <v>3.41</v>
      </c>
      <c r="K366" s="64">
        <v>10.22</v>
      </c>
      <c r="L366" s="38"/>
      <c r="M366" s="80"/>
      <c r="N366" s="80"/>
      <c r="O366" s="80"/>
      <c r="P366" s="80"/>
      <c r="Q366" s="80"/>
    </row>
    <row r="367" s="76" customFormat="1" ht="24.95" customHeight="1" spans="1:17">
      <c r="A367" s="20">
        <v>361</v>
      </c>
      <c r="B367" s="38" t="s">
        <v>480</v>
      </c>
      <c r="C367" s="39" t="s">
        <v>486</v>
      </c>
      <c r="D367" s="39" t="s">
        <v>482</v>
      </c>
      <c r="E367" s="40">
        <v>1840</v>
      </c>
      <c r="F367" s="39" t="s">
        <v>93</v>
      </c>
      <c r="G367" s="46">
        <v>4</v>
      </c>
      <c r="H367" s="64">
        <v>75.7</v>
      </c>
      <c r="I367" s="64">
        <v>302.7</v>
      </c>
      <c r="J367" s="64">
        <v>2.48</v>
      </c>
      <c r="K367" s="64">
        <v>9.93</v>
      </c>
      <c r="L367" s="38"/>
      <c r="M367" s="80"/>
      <c r="N367" s="80"/>
      <c r="O367" s="80"/>
      <c r="P367" s="80"/>
      <c r="Q367" s="80"/>
    </row>
    <row r="368" s="76" customFormat="1" ht="24.95" customHeight="1" spans="1:17">
      <c r="A368" s="20">
        <v>362</v>
      </c>
      <c r="B368" s="38" t="s">
        <v>480</v>
      </c>
      <c r="C368" s="39" t="s">
        <v>487</v>
      </c>
      <c r="D368" s="39" t="s">
        <v>482</v>
      </c>
      <c r="E368" s="40">
        <v>1840</v>
      </c>
      <c r="F368" s="39" t="s">
        <v>93</v>
      </c>
      <c r="G368" s="46">
        <v>4</v>
      </c>
      <c r="H368" s="64">
        <v>75.7</v>
      </c>
      <c r="I368" s="64">
        <v>302.7</v>
      </c>
      <c r="J368" s="64">
        <v>2.48</v>
      </c>
      <c r="K368" s="64">
        <v>9.93</v>
      </c>
      <c r="L368" s="38"/>
      <c r="M368" s="80"/>
      <c r="N368" s="80"/>
      <c r="O368" s="80"/>
      <c r="P368" s="80"/>
      <c r="Q368" s="80"/>
    </row>
    <row r="369" s="76" customFormat="1" ht="24.95" customHeight="1" spans="1:17">
      <c r="A369" s="20">
        <v>363</v>
      </c>
      <c r="B369" s="38" t="s">
        <v>480</v>
      </c>
      <c r="C369" s="39" t="s">
        <v>488</v>
      </c>
      <c r="D369" s="39" t="s">
        <v>482</v>
      </c>
      <c r="E369" s="40">
        <v>2430</v>
      </c>
      <c r="F369" s="39" t="s">
        <v>93</v>
      </c>
      <c r="G369" s="46">
        <v>1</v>
      </c>
      <c r="H369" s="64">
        <v>103.8</v>
      </c>
      <c r="I369" s="64">
        <v>103.8</v>
      </c>
      <c r="J369" s="64">
        <v>3.41</v>
      </c>
      <c r="K369" s="64">
        <v>3.41</v>
      </c>
      <c r="L369" s="38"/>
      <c r="M369" s="80"/>
      <c r="N369" s="80"/>
      <c r="O369" s="80"/>
      <c r="P369" s="80"/>
      <c r="Q369" s="80"/>
    </row>
    <row r="370" s="76" customFormat="1" ht="24.95" customHeight="1" spans="1:17">
      <c r="A370" s="20">
        <v>364</v>
      </c>
      <c r="B370" s="38" t="s">
        <v>480</v>
      </c>
      <c r="C370" s="39" t="s">
        <v>489</v>
      </c>
      <c r="D370" s="39" t="s">
        <v>482</v>
      </c>
      <c r="E370" s="40">
        <v>2430</v>
      </c>
      <c r="F370" s="39" t="s">
        <v>93</v>
      </c>
      <c r="G370" s="46">
        <v>1</v>
      </c>
      <c r="H370" s="64">
        <v>103.8</v>
      </c>
      <c r="I370" s="64">
        <v>103.8</v>
      </c>
      <c r="J370" s="64">
        <v>3.41</v>
      </c>
      <c r="K370" s="64">
        <v>3.41</v>
      </c>
      <c r="L370" s="38"/>
      <c r="M370" s="80"/>
      <c r="N370" s="80"/>
      <c r="O370" s="80"/>
      <c r="P370" s="80"/>
      <c r="Q370" s="80"/>
    </row>
    <row r="371" s="76" customFormat="1" ht="24.95" customHeight="1" spans="1:17">
      <c r="A371" s="20">
        <v>365</v>
      </c>
      <c r="B371" s="38" t="s">
        <v>480</v>
      </c>
      <c r="C371" s="39" t="s">
        <v>490</v>
      </c>
      <c r="D371" s="39" t="s">
        <v>482</v>
      </c>
      <c r="E371" s="40">
        <v>1840</v>
      </c>
      <c r="F371" s="39" t="s">
        <v>93</v>
      </c>
      <c r="G371" s="46">
        <v>1</v>
      </c>
      <c r="H371" s="64">
        <v>75.7</v>
      </c>
      <c r="I371" s="64">
        <v>75.7</v>
      </c>
      <c r="J371" s="64">
        <v>2.48</v>
      </c>
      <c r="K371" s="64">
        <v>2.48</v>
      </c>
      <c r="L371" s="38"/>
      <c r="M371" s="80"/>
      <c r="N371" s="80"/>
      <c r="O371" s="80"/>
      <c r="P371" s="80"/>
      <c r="Q371" s="80"/>
    </row>
    <row r="372" s="76" customFormat="1" ht="24.95" customHeight="1" spans="1:17">
      <c r="A372" s="20">
        <v>366</v>
      </c>
      <c r="B372" s="38" t="s">
        <v>480</v>
      </c>
      <c r="C372" s="39" t="s">
        <v>491</v>
      </c>
      <c r="D372" s="39" t="s">
        <v>482</v>
      </c>
      <c r="E372" s="40">
        <v>1840</v>
      </c>
      <c r="F372" s="39" t="s">
        <v>93</v>
      </c>
      <c r="G372" s="46">
        <v>1</v>
      </c>
      <c r="H372" s="64">
        <v>75.7</v>
      </c>
      <c r="I372" s="64">
        <v>75.7</v>
      </c>
      <c r="J372" s="64">
        <v>2.48</v>
      </c>
      <c r="K372" s="64">
        <v>2.48</v>
      </c>
      <c r="L372" s="38"/>
      <c r="M372" s="80"/>
      <c r="N372" s="80"/>
      <c r="O372" s="80"/>
      <c r="P372" s="80"/>
      <c r="Q372" s="80"/>
    </row>
    <row r="373" s="76" customFormat="1" ht="24.95" customHeight="1" spans="1:17">
      <c r="A373" s="20">
        <v>367</v>
      </c>
      <c r="B373" s="38" t="s">
        <v>480</v>
      </c>
      <c r="C373" s="39" t="s">
        <v>492</v>
      </c>
      <c r="D373" s="39" t="s">
        <v>482</v>
      </c>
      <c r="E373" s="40">
        <v>2430</v>
      </c>
      <c r="F373" s="39" t="s">
        <v>93</v>
      </c>
      <c r="G373" s="46">
        <v>1</v>
      </c>
      <c r="H373" s="64">
        <v>106</v>
      </c>
      <c r="I373" s="64">
        <v>106</v>
      </c>
      <c r="J373" s="64">
        <v>3.48</v>
      </c>
      <c r="K373" s="64">
        <v>3.48</v>
      </c>
      <c r="L373" s="38"/>
      <c r="M373" s="80"/>
      <c r="N373" s="80"/>
      <c r="O373" s="80"/>
      <c r="P373" s="80"/>
      <c r="Q373" s="80"/>
    </row>
    <row r="374" s="76" customFormat="1" ht="24.95" customHeight="1" spans="1:17">
      <c r="A374" s="20">
        <v>368</v>
      </c>
      <c r="B374" s="38" t="s">
        <v>480</v>
      </c>
      <c r="C374" s="39" t="s">
        <v>493</v>
      </c>
      <c r="D374" s="39" t="s">
        <v>482</v>
      </c>
      <c r="E374" s="40">
        <v>2430</v>
      </c>
      <c r="F374" s="39" t="s">
        <v>93</v>
      </c>
      <c r="G374" s="46">
        <v>1</v>
      </c>
      <c r="H374" s="64">
        <v>106</v>
      </c>
      <c r="I374" s="64">
        <v>106</v>
      </c>
      <c r="J374" s="64">
        <v>3.48</v>
      </c>
      <c r="K374" s="64">
        <v>3.48</v>
      </c>
      <c r="L374" s="38"/>
      <c r="M374" s="80"/>
      <c r="N374" s="80"/>
      <c r="O374" s="80"/>
      <c r="P374" s="80"/>
      <c r="Q374" s="80"/>
    </row>
    <row r="375" s="76" customFormat="1" ht="24.95" customHeight="1" spans="1:17">
      <c r="A375" s="20">
        <v>369</v>
      </c>
      <c r="B375" s="38" t="s">
        <v>480</v>
      </c>
      <c r="C375" s="39" t="s">
        <v>494</v>
      </c>
      <c r="D375" s="39" t="s">
        <v>482</v>
      </c>
      <c r="E375" s="40">
        <v>1840</v>
      </c>
      <c r="F375" s="39" t="s">
        <v>93</v>
      </c>
      <c r="G375" s="46">
        <v>1</v>
      </c>
      <c r="H375" s="64">
        <v>75.7</v>
      </c>
      <c r="I375" s="64">
        <v>75.7</v>
      </c>
      <c r="J375" s="64">
        <v>2.48</v>
      </c>
      <c r="K375" s="64">
        <v>2.48</v>
      </c>
      <c r="L375" s="38"/>
      <c r="M375" s="80"/>
      <c r="N375" s="80"/>
      <c r="O375" s="80"/>
      <c r="P375" s="80"/>
      <c r="Q375" s="80"/>
    </row>
    <row r="376" s="76" customFormat="1" ht="24.95" customHeight="1" spans="1:17">
      <c r="A376" s="20">
        <v>370</v>
      </c>
      <c r="B376" s="38" t="s">
        <v>480</v>
      </c>
      <c r="C376" s="39" t="s">
        <v>495</v>
      </c>
      <c r="D376" s="39" t="s">
        <v>482</v>
      </c>
      <c r="E376" s="40">
        <v>1840</v>
      </c>
      <c r="F376" s="39" t="s">
        <v>93</v>
      </c>
      <c r="G376" s="46">
        <v>1</v>
      </c>
      <c r="H376" s="64">
        <v>75.7</v>
      </c>
      <c r="I376" s="64">
        <v>75.7</v>
      </c>
      <c r="J376" s="64">
        <v>2.48</v>
      </c>
      <c r="K376" s="64">
        <v>2.48</v>
      </c>
      <c r="L376" s="38"/>
      <c r="M376" s="80"/>
      <c r="N376" s="80"/>
      <c r="O376" s="80"/>
      <c r="P376" s="80"/>
      <c r="Q376" s="80"/>
    </row>
    <row r="377" s="76" customFormat="1" ht="24.95" customHeight="1" spans="1:17">
      <c r="A377" s="20">
        <v>371</v>
      </c>
      <c r="B377" s="38" t="s">
        <v>480</v>
      </c>
      <c r="C377" s="39" t="s">
        <v>496</v>
      </c>
      <c r="D377" s="39" t="s">
        <v>482</v>
      </c>
      <c r="E377" s="40">
        <v>1790</v>
      </c>
      <c r="F377" s="39" t="s">
        <v>93</v>
      </c>
      <c r="G377" s="46">
        <v>1</v>
      </c>
      <c r="H377" s="64">
        <v>73.8</v>
      </c>
      <c r="I377" s="64">
        <v>73.8</v>
      </c>
      <c r="J377" s="64">
        <v>2.42</v>
      </c>
      <c r="K377" s="64">
        <v>2.42</v>
      </c>
      <c r="L377" s="38"/>
      <c r="M377" s="80"/>
      <c r="N377" s="80"/>
      <c r="O377" s="80"/>
      <c r="P377" s="80"/>
      <c r="Q377" s="80"/>
    </row>
    <row r="378" s="76" customFormat="1" ht="24.95" customHeight="1" spans="1:17">
      <c r="A378" s="20">
        <v>372</v>
      </c>
      <c r="B378" s="38" t="s">
        <v>480</v>
      </c>
      <c r="C378" s="39" t="s">
        <v>497</v>
      </c>
      <c r="D378" s="39" t="s">
        <v>482</v>
      </c>
      <c r="E378" s="40">
        <v>1790</v>
      </c>
      <c r="F378" s="39" t="s">
        <v>93</v>
      </c>
      <c r="G378" s="46">
        <v>1</v>
      </c>
      <c r="H378" s="64">
        <v>73.8</v>
      </c>
      <c r="I378" s="64">
        <v>73.8</v>
      </c>
      <c r="J378" s="64">
        <v>2.42</v>
      </c>
      <c r="K378" s="64">
        <v>2.42</v>
      </c>
      <c r="L378" s="38"/>
      <c r="M378" s="80"/>
      <c r="N378" s="80"/>
      <c r="O378" s="80"/>
      <c r="P378" s="80"/>
      <c r="Q378" s="80"/>
    </row>
    <row r="379" s="76" customFormat="1" ht="24.95" customHeight="1" spans="1:17">
      <c r="A379" s="20">
        <v>373</v>
      </c>
      <c r="B379" s="38" t="s">
        <v>480</v>
      </c>
      <c r="C379" s="39" t="s">
        <v>498</v>
      </c>
      <c r="D379" s="39" t="s">
        <v>482</v>
      </c>
      <c r="E379" s="40">
        <v>2430</v>
      </c>
      <c r="F379" s="39" t="s">
        <v>93</v>
      </c>
      <c r="G379" s="46">
        <v>1</v>
      </c>
      <c r="H379" s="64">
        <v>97.9</v>
      </c>
      <c r="I379" s="64">
        <v>97.9</v>
      </c>
      <c r="J379" s="64">
        <v>3.2</v>
      </c>
      <c r="K379" s="64">
        <v>3.2</v>
      </c>
      <c r="L379" s="38"/>
      <c r="M379" s="80"/>
      <c r="N379" s="80"/>
      <c r="O379" s="80"/>
      <c r="P379" s="80"/>
      <c r="Q379" s="80"/>
    </row>
    <row r="380" s="76" customFormat="1" ht="24.95" customHeight="1" spans="1:17">
      <c r="A380" s="20">
        <v>374</v>
      </c>
      <c r="B380" s="38" t="s">
        <v>480</v>
      </c>
      <c r="C380" s="39" t="s">
        <v>499</v>
      </c>
      <c r="D380" s="39" t="s">
        <v>482</v>
      </c>
      <c r="E380" s="40">
        <v>2430</v>
      </c>
      <c r="F380" s="39" t="s">
        <v>93</v>
      </c>
      <c r="G380" s="46">
        <v>1</v>
      </c>
      <c r="H380" s="64">
        <v>97.9</v>
      </c>
      <c r="I380" s="64">
        <v>97.9</v>
      </c>
      <c r="J380" s="64">
        <v>3.2</v>
      </c>
      <c r="K380" s="64">
        <v>3.2</v>
      </c>
      <c r="L380" s="38"/>
      <c r="M380" s="80"/>
      <c r="N380" s="80"/>
      <c r="O380" s="80"/>
      <c r="P380" s="80"/>
      <c r="Q380" s="80"/>
    </row>
    <row r="381" s="76" customFormat="1" ht="24.95" customHeight="1" spans="1:17">
      <c r="A381" s="20">
        <v>375</v>
      </c>
      <c r="B381" s="38" t="s">
        <v>500</v>
      </c>
      <c r="C381" s="39" t="s">
        <v>501</v>
      </c>
      <c r="D381" s="39" t="s">
        <v>502</v>
      </c>
      <c r="E381" s="40">
        <v>1435.3</v>
      </c>
      <c r="F381" s="39" t="s">
        <v>93</v>
      </c>
      <c r="G381" s="46">
        <v>4</v>
      </c>
      <c r="H381" s="64">
        <v>76.9</v>
      </c>
      <c r="I381" s="64">
        <v>307.5</v>
      </c>
      <c r="J381" s="64">
        <v>2.5</v>
      </c>
      <c r="K381" s="64">
        <v>10.01</v>
      </c>
      <c r="L381" s="38"/>
      <c r="M381" s="80"/>
      <c r="N381" s="80"/>
      <c r="O381" s="80"/>
      <c r="P381" s="80"/>
      <c r="Q381" s="80"/>
    </row>
    <row r="382" s="76" customFormat="1" ht="24.95" customHeight="1" spans="1:17">
      <c r="A382" s="20">
        <v>376</v>
      </c>
      <c r="B382" s="38" t="s">
        <v>500</v>
      </c>
      <c r="C382" s="39" t="s">
        <v>503</v>
      </c>
      <c r="D382" s="39" t="s">
        <v>502</v>
      </c>
      <c r="E382" s="40">
        <v>1435.3</v>
      </c>
      <c r="F382" s="39" t="s">
        <v>93</v>
      </c>
      <c r="G382" s="46">
        <v>4</v>
      </c>
      <c r="H382" s="64">
        <v>76.9</v>
      </c>
      <c r="I382" s="64">
        <v>307.5</v>
      </c>
      <c r="J382" s="64">
        <v>2.5</v>
      </c>
      <c r="K382" s="64">
        <v>10.01</v>
      </c>
      <c r="L382" s="38"/>
      <c r="M382" s="80"/>
      <c r="N382" s="80"/>
      <c r="O382" s="80"/>
      <c r="P382" s="80"/>
      <c r="Q382" s="80"/>
    </row>
    <row r="383" s="76" customFormat="1" ht="24.95" customHeight="1" spans="1:17">
      <c r="A383" s="20">
        <v>377</v>
      </c>
      <c r="B383" s="38" t="s">
        <v>500</v>
      </c>
      <c r="C383" s="39" t="s">
        <v>504</v>
      </c>
      <c r="D383" s="39" t="s">
        <v>502</v>
      </c>
      <c r="E383" s="40">
        <v>1877.5</v>
      </c>
      <c r="F383" s="39" t="s">
        <v>93</v>
      </c>
      <c r="G383" s="46">
        <v>1</v>
      </c>
      <c r="H383" s="64">
        <v>91.7</v>
      </c>
      <c r="I383" s="64">
        <v>91.7</v>
      </c>
      <c r="J383" s="64">
        <v>3.03</v>
      </c>
      <c r="K383" s="64">
        <v>3.03</v>
      </c>
      <c r="L383" s="38"/>
      <c r="M383" s="80"/>
      <c r="N383" s="80"/>
      <c r="O383" s="80"/>
      <c r="P383" s="80"/>
      <c r="Q383" s="80"/>
    </row>
    <row r="384" s="76" customFormat="1" ht="24.95" customHeight="1" spans="1:17">
      <c r="A384" s="20">
        <v>378</v>
      </c>
      <c r="B384" s="38" t="s">
        <v>500</v>
      </c>
      <c r="C384" s="39" t="s">
        <v>505</v>
      </c>
      <c r="D384" s="39" t="s">
        <v>502</v>
      </c>
      <c r="E384" s="40">
        <v>1877.5</v>
      </c>
      <c r="F384" s="39" t="s">
        <v>93</v>
      </c>
      <c r="G384" s="46">
        <v>1</v>
      </c>
      <c r="H384" s="64">
        <v>91.7</v>
      </c>
      <c r="I384" s="64">
        <v>91.7</v>
      </c>
      <c r="J384" s="64">
        <v>3.03</v>
      </c>
      <c r="K384" s="64">
        <v>3.03</v>
      </c>
      <c r="L384" s="38"/>
      <c r="M384" s="80"/>
      <c r="N384" s="80"/>
      <c r="O384" s="80"/>
      <c r="P384" s="80"/>
      <c r="Q384" s="80"/>
    </row>
    <row r="385" s="76" customFormat="1" ht="24.95" customHeight="1" spans="1:17">
      <c r="A385" s="20">
        <v>379</v>
      </c>
      <c r="B385" s="38" t="s">
        <v>500</v>
      </c>
      <c r="C385" s="39" t="s">
        <v>506</v>
      </c>
      <c r="D385" s="39" t="s">
        <v>502</v>
      </c>
      <c r="E385" s="40">
        <v>1394.5</v>
      </c>
      <c r="F385" s="39" t="s">
        <v>93</v>
      </c>
      <c r="G385" s="46">
        <v>1</v>
      </c>
      <c r="H385" s="64">
        <v>75.5</v>
      </c>
      <c r="I385" s="64">
        <v>75.5</v>
      </c>
      <c r="J385" s="64">
        <v>2.46</v>
      </c>
      <c r="K385" s="64">
        <v>2.46</v>
      </c>
      <c r="L385" s="38"/>
      <c r="M385" s="80"/>
      <c r="N385" s="80"/>
      <c r="O385" s="80"/>
      <c r="P385" s="80"/>
      <c r="Q385" s="80"/>
    </row>
    <row r="386" s="76" customFormat="1" ht="24.95" customHeight="1" spans="1:17">
      <c r="A386" s="20">
        <v>380</v>
      </c>
      <c r="B386" s="38" t="s">
        <v>500</v>
      </c>
      <c r="C386" s="39" t="s">
        <v>507</v>
      </c>
      <c r="D386" s="39" t="s">
        <v>502</v>
      </c>
      <c r="E386" s="40">
        <v>1394.5</v>
      </c>
      <c r="F386" s="39" t="s">
        <v>93</v>
      </c>
      <c r="G386" s="46">
        <v>1</v>
      </c>
      <c r="H386" s="64">
        <v>75.5</v>
      </c>
      <c r="I386" s="64">
        <v>75.5</v>
      </c>
      <c r="J386" s="64">
        <v>2.46</v>
      </c>
      <c r="K386" s="64">
        <v>2.46</v>
      </c>
      <c r="L386" s="38"/>
      <c r="M386" s="80"/>
      <c r="N386" s="80"/>
      <c r="O386" s="80"/>
      <c r="P386" s="80"/>
      <c r="Q386" s="80"/>
    </row>
    <row r="387" s="76" customFormat="1" ht="24.95" customHeight="1" spans="1:17">
      <c r="A387" s="20">
        <v>381</v>
      </c>
      <c r="B387" s="38" t="s">
        <v>500</v>
      </c>
      <c r="C387" s="39" t="s">
        <v>508</v>
      </c>
      <c r="D387" s="39" t="s">
        <v>502</v>
      </c>
      <c r="E387" s="40">
        <v>1550</v>
      </c>
      <c r="F387" s="39" t="s">
        <v>93</v>
      </c>
      <c r="G387" s="46">
        <v>1</v>
      </c>
      <c r="H387" s="64">
        <v>93.4</v>
      </c>
      <c r="I387" s="64">
        <v>93.4</v>
      </c>
      <c r="J387" s="64">
        <v>2.86</v>
      </c>
      <c r="K387" s="64">
        <v>2.86</v>
      </c>
      <c r="L387" s="38"/>
      <c r="M387" s="80"/>
      <c r="N387" s="80"/>
      <c r="O387" s="80"/>
      <c r="P387" s="80"/>
      <c r="Q387" s="80"/>
    </row>
    <row r="388" s="76" customFormat="1" ht="24.95" customHeight="1" spans="1:17">
      <c r="A388" s="20">
        <v>382</v>
      </c>
      <c r="B388" s="38" t="s">
        <v>500</v>
      </c>
      <c r="C388" s="39" t="s">
        <v>509</v>
      </c>
      <c r="D388" s="39" t="s">
        <v>502</v>
      </c>
      <c r="E388" s="40">
        <v>1550</v>
      </c>
      <c r="F388" s="39" t="s">
        <v>93</v>
      </c>
      <c r="G388" s="46">
        <v>1</v>
      </c>
      <c r="H388" s="64">
        <v>93.4</v>
      </c>
      <c r="I388" s="64">
        <v>93.4</v>
      </c>
      <c r="J388" s="64">
        <v>2.86</v>
      </c>
      <c r="K388" s="64">
        <v>2.86</v>
      </c>
      <c r="L388" s="38"/>
      <c r="M388" s="80"/>
      <c r="N388" s="80"/>
      <c r="O388" s="80"/>
      <c r="P388" s="80"/>
      <c r="Q388" s="80"/>
    </row>
    <row r="389" s="76" customFormat="1" ht="24.95" customHeight="1" spans="1:17">
      <c r="A389" s="20">
        <v>383</v>
      </c>
      <c r="B389" s="38" t="s">
        <v>500</v>
      </c>
      <c r="C389" s="39" t="s">
        <v>510</v>
      </c>
      <c r="D389" s="39" t="s">
        <v>502</v>
      </c>
      <c r="E389" s="40">
        <v>1360</v>
      </c>
      <c r="F389" s="39" t="s">
        <v>93</v>
      </c>
      <c r="G389" s="46">
        <v>1</v>
      </c>
      <c r="H389" s="64">
        <v>75.5</v>
      </c>
      <c r="I389" s="64">
        <v>75.5</v>
      </c>
      <c r="J389" s="64">
        <v>2.46</v>
      </c>
      <c r="K389" s="64">
        <v>2.46</v>
      </c>
      <c r="L389" s="38"/>
      <c r="M389" s="80"/>
      <c r="N389" s="80"/>
      <c r="O389" s="80"/>
      <c r="P389" s="80"/>
      <c r="Q389" s="80"/>
    </row>
    <row r="390" s="76" customFormat="1" ht="24.95" customHeight="1" spans="1:17">
      <c r="A390" s="20">
        <v>384</v>
      </c>
      <c r="B390" s="38" t="s">
        <v>500</v>
      </c>
      <c r="C390" s="39" t="s">
        <v>511</v>
      </c>
      <c r="D390" s="39" t="s">
        <v>502</v>
      </c>
      <c r="E390" s="40">
        <v>1360</v>
      </c>
      <c r="F390" s="39" t="s">
        <v>93</v>
      </c>
      <c r="G390" s="46">
        <v>1</v>
      </c>
      <c r="H390" s="64">
        <v>75.5</v>
      </c>
      <c r="I390" s="64">
        <v>75.5</v>
      </c>
      <c r="J390" s="64">
        <v>2.46</v>
      </c>
      <c r="K390" s="64">
        <v>2.46</v>
      </c>
      <c r="L390" s="38"/>
      <c r="M390" s="80"/>
      <c r="N390" s="80"/>
      <c r="O390" s="80"/>
      <c r="P390" s="80"/>
      <c r="Q390" s="80"/>
    </row>
    <row r="391" s="76" customFormat="1" ht="24.95" customHeight="1" spans="1:17">
      <c r="A391" s="20">
        <v>385</v>
      </c>
      <c r="B391" s="38" t="s">
        <v>500</v>
      </c>
      <c r="C391" s="39" t="s">
        <v>512</v>
      </c>
      <c r="D391" s="39" t="s">
        <v>502</v>
      </c>
      <c r="E391" s="40">
        <v>1840</v>
      </c>
      <c r="F391" s="39" t="s">
        <v>93</v>
      </c>
      <c r="G391" s="46">
        <v>1</v>
      </c>
      <c r="H391" s="64">
        <v>91.7</v>
      </c>
      <c r="I391" s="64">
        <v>91.7</v>
      </c>
      <c r="J391" s="64">
        <v>3.03</v>
      </c>
      <c r="K391" s="64">
        <v>3.03</v>
      </c>
      <c r="L391" s="38"/>
      <c r="M391" s="80"/>
      <c r="N391" s="80"/>
      <c r="O391" s="80"/>
      <c r="P391" s="80"/>
      <c r="Q391" s="80"/>
    </row>
    <row r="392" s="76" customFormat="1" ht="24.95" customHeight="1" spans="1:17">
      <c r="A392" s="20">
        <v>386</v>
      </c>
      <c r="B392" s="38" t="s">
        <v>500</v>
      </c>
      <c r="C392" s="39" t="s">
        <v>513</v>
      </c>
      <c r="D392" s="39" t="s">
        <v>502</v>
      </c>
      <c r="E392" s="40">
        <v>1840</v>
      </c>
      <c r="F392" s="39" t="s">
        <v>93</v>
      </c>
      <c r="G392" s="46">
        <v>1</v>
      </c>
      <c r="H392" s="64">
        <v>91.7</v>
      </c>
      <c r="I392" s="64">
        <v>91.7</v>
      </c>
      <c r="J392" s="64">
        <v>3.03</v>
      </c>
      <c r="K392" s="64">
        <v>3.03</v>
      </c>
      <c r="L392" s="38"/>
      <c r="M392" s="80"/>
      <c r="N392" s="80"/>
      <c r="O392" s="80"/>
      <c r="P392" s="80"/>
      <c r="Q392" s="80"/>
    </row>
    <row r="393" s="76" customFormat="1" ht="24.95" customHeight="1" spans="1:17">
      <c r="A393" s="20">
        <v>387</v>
      </c>
      <c r="B393" s="38" t="s">
        <v>500</v>
      </c>
      <c r="C393" s="39" t="s">
        <v>514</v>
      </c>
      <c r="D393" s="39" t="s">
        <v>502</v>
      </c>
      <c r="E393" s="40">
        <v>1400</v>
      </c>
      <c r="F393" s="39" t="s">
        <v>93</v>
      </c>
      <c r="G393" s="46">
        <v>4</v>
      </c>
      <c r="H393" s="64">
        <v>76.9</v>
      </c>
      <c r="I393" s="64">
        <v>307.5</v>
      </c>
      <c r="J393" s="64">
        <v>2.5</v>
      </c>
      <c r="K393" s="64">
        <v>10.01</v>
      </c>
      <c r="L393" s="38"/>
      <c r="M393" s="80"/>
      <c r="N393" s="80"/>
      <c r="O393" s="80"/>
      <c r="P393" s="80"/>
      <c r="Q393" s="80"/>
    </row>
    <row r="394" s="76" customFormat="1" ht="24.95" customHeight="1" spans="1:17">
      <c r="A394" s="20">
        <v>388</v>
      </c>
      <c r="B394" s="38" t="s">
        <v>500</v>
      </c>
      <c r="C394" s="39" t="s">
        <v>515</v>
      </c>
      <c r="D394" s="39" t="s">
        <v>502</v>
      </c>
      <c r="E394" s="40">
        <v>1400</v>
      </c>
      <c r="F394" s="39" t="s">
        <v>93</v>
      </c>
      <c r="G394" s="46">
        <v>4</v>
      </c>
      <c r="H394" s="64">
        <v>76.9</v>
      </c>
      <c r="I394" s="64">
        <v>307.5</v>
      </c>
      <c r="J394" s="64">
        <v>2.5</v>
      </c>
      <c r="K394" s="64">
        <v>10.01</v>
      </c>
      <c r="L394" s="38"/>
      <c r="M394" s="80"/>
      <c r="N394" s="80"/>
      <c r="O394" s="80"/>
      <c r="P394" s="80"/>
      <c r="Q394" s="80"/>
    </row>
    <row r="395" s="76" customFormat="1" ht="24.95" customHeight="1" spans="1:17">
      <c r="A395" s="20">
        <v>389</v>
      </c>
      <c r="B395" s="38" t="s">
        <v>500</v>
      </c>
      <c r="C395" s="39" t="s">
        <v>516</v>
      </c>
      <c r="D395" s="39" t="s">
        <v>502</v>
      </c>
      <c r="E395" s="40">
        <v>1586.4</v>
      </c>
      <c r="F395" s="39" t="s">
        <v>93</v>
      </c>
      <c r="G395" s="46">
        <v>1</v>
      </c>
      <c r="H395" s="64">
        <v>93.4</v>
      </c>
      <c r="I395" s="64">
        <v>93.4</v>
      </c>
      <c r="J395" s="64">
        <v>2.86</v>
      </c>
      <c r="K395" s="64">
        <v>2.86</v>
      </c>
      <c r="L395" s="38"/>
      <c r="M395" s="80"/>
      <c r="N395" s="80"/>
      <c r="O395" s="80"/>
      <c r="P395" s="80"/>
      <c r="Q395" s="80"/>
    </row>
    <row r="396" s="76" customFormat="1" ht="24.95" customHeight="1" spans="1:17">
      <c r="A396" s="20">
        <v>390</v>
      </c>
      <c r="B396" s="38" t="s">
        <v>500</v>
      </c>
      <c r="C396" s="39" t="s">
        <v>517</v>
      </c>
      <c r="D396" s="39" t="s">
        <v>502</v>
      </c>
      <c r="E396" s="40">
        <v>1586.4</v>
      </c>
      <c r="F396" s="39" t="s">
        <v>93</v>
      </c>
      <c r="G396" s="46">
        <v>1</v>
      </c>
      <c r="H396" s="64">
        <v>93.4</v>
      </c>
      <c r="I396" s="64">
        <v>93.4</v>
      </c>
      <c r="J396" s="64">
        <v>2.86</v>
      </c>
      <c r="K396" s="64">
        <v>2.86</v>
      </c>
      <c r="L396" s="38"/>
      <c r="M396" s="80"/>
      <c r="N396" s="80"/>
      <c r="O396" s="80"/>
      <c r="P396" s="80"/>
      <c r="Q396" s="80"/>
    </row>
    <row r="397" s="76" customFormat="1" ht="24.95" customHeight="1" spans="1:17">
      <c r="A397" s="20">
        <v>391</v>
      </c>
      <c r="B397" s="38" t="s">
        <v>500</v>
      </c>
      <c r="C397" s="39" t="s">
        <v>518</v>
      </c>
      <c r="D397" s="39" t="s">
        <v>137</v>
      </c>
      <c r="E397" s="40">
        <v>20605</v>
      </c>
      <c r="F397" s="39" t="s">
        <v>93</v>
      </c>
      <c r="G397" s="46">
        <v>4</v>
      </c>
      <c r="H397" s="64">
        <v>1715.3</v>
      </c>
      <c r="I397" s="64">
        <v>6861.1</v>
      </c>
      <c r="J397" s="64">
        <v>35.64</v>
      </c>
      <c r="K397" s="64">
        <v>142.55</v>
      </c>
      <c r="L397" s="38"/>
      <c r="M397" s="80"/>
      <c r="N397" s="80"/>
      <c r="O397" s="80"/>
      <c r="P397" s="80"/>
      <c r="Q397" s="80"/>
    </row>
    <row r="398" s="76" customFormat="1" ht="24.95" customHeight="1" spans="1:17">
      <c r="A398" s="20">
        <v>392</v>
      </c>
      <c r="B398" s="38" t="s">
        <v>500</v>
      </c>
      <c r="C398" s="39" t="s">
        <v>519</v>
      </c>
      <c r="D398" s="39" t="s">
        <v>502</v>
      </c>
      <c r="E398" s="40">
        <v>3225</v>
      </c>
      <c r="F398" s="39" t="s">
        <v>93</v>
      </c>
      <c r="G398" s="46">
        <v>1</v>
      </c>
      <c r="H398" s="64">
        <v>122.8</v>
      </c>
      <c r="I398" s="64">
        <v>122.8</v>
      </c>
      <c r="J398" s="64">
        <v>4.15</v>
      </c>
      <c r="K398" s="64">
        <v>4.15</v>
      </c>
      <c r="L398" s="38"/>
      <c r="M398" s="80"/>
      <c r="N398" s="80"/>
      <c r="O398" s="80"/>
      <c r="P398" s="80"/>
      <c r="Q398" s="80"/>
    </row>
    <row r="399" s="76" customFormat="1" ht="24.95" customHeight="1" spans="1:17">
      <c r="A399" s="20">
        <v>393</v>
      </c>
      <c r="B399" s="38" t="s">
        <v>500</v>
      </c>
      <c r="C399" s="39" t="s">
        <v>520</v>
      </c>
      <c r="D399" s="39" t="s">
        <v>137</v>
      </c>
      <c r="E399" s="40">
        <v>20605</v>
      </c>
      <c r="F399" s="39" t="s">
        <v>93</v>
      </c>
      <c r="G399" s="46">
        <v>2</v>
      </c>
      <c r="H399" s="64">
        <v>1699.2</v>
      </c>
      <c r="I399" s="64">
        <v>3398.4</v>
      </c>
      <c r="J399" s="64">
        <v>35.17</v>
      </c>
      <c r="K399" s="64">
        <v>70.33</v>
      </c>
      <c r="L399" s="38"/>
      <c r="M399" s="80"/>
      <c r="N399" s="80"/>
      <c r="O399" s="80"/>
      <c r="P399" s="80"/>
      <c r="Q399" s="80"/>
    </row>
    <row r="400" s="76" customFormat="1" ht="24.95" customHeight="1" spans="1:17">
      <c r="A400" s="20">
        <v>394</v>
      </c>
      <c r="B400" s="38" t="s">
        <v>500</v>
      </c>
      <c r="C400" s="39" t="s">
        <v>521</v>
      </c>
      <c r="D400" s="39" t="s">
        <v>137</v>
      </c>
      <c r="E400" s="40">
        <v>20605</v>
      </c>
      <c r="F400" s="39" t="s">
        <v>93</v>
      </c>
      <c r="G400" s="46">
        <v>2</v>
      </c>
      <c r="H400" s="64">
        <v>1699.2</v>
      </c>
      <c r="I400" s="64">
        <v>3398.4</v>
      </c>
      <c r="J400" s="64">
        <v>35.17</v>
      </c>
      <c r="K400" s="64">
        <v>70.33</v>
      </c>
      <c r="L400" s="38"/>
      <c r="M400" s="80"/>
      <c r="N400" s="80"/>
      <c r="O400" s="80"/>
      <c r="P400" s="80"/>
      <c r="Q400" s="80"/>
    </row>
    <row r="401" s="31" customFormat="1" ht="24.95" customHeight="1" spans="1:13">
      <c r="A401" s="26"/>
      <c r="B401" s="42"/>
      <c r="C401" s="26"/>
      <c r="D401" s="26"/>
      <c r="E401" s="27"/>
      <c r="F401" s="26" t="s">
        <v>522</v>
      </c>
      <c r="G401" s="28">
        <f>SUM(G7:G400)</f>
        <v>4788</v>
      </c>
      <c r="H401" s="29"/>
      <c r="I401" s="29">
        <f>SUM(I7:I400)</f>
        <v>756132.6</v>
      </c>
      <c r="J401" s="29" t="s">
        <v>24</v>
      </c>
      <c r="K401" s="29">
        <f>SUM(K7:K400)</f>
        <v>13987.2</v>
      </c>
      <c r="L401" s="26"/>
      <c r="M401" s="30" t="s">
        <v>523</v>
      </c>
    </row>
    <row r="402" ht="30" customHeight="1" spans="2:10">
      <c r="B402" s="81" t="s">
        <v>524</v>
      </c>
      <c r="C402" s="81"/>
      <c r="D402" s="81"/>
      <c r="E402" s="81"/>
      <c r="F402" s="81"/>
      <c r="G402" s="81"/>
      <c r="H402" s="81"/>
      <c r="I402" s="81"/>
      <c r="J402" s="81"/>
    </row>
  </sheetData>
  <autoFilter xmlns:etc="http://www.wps.cn/officeDocument/2017/etCustomData" ref="B6:L402" etc:filterBottomFollowUsedRange="0">
    <extLst/>
  </autoFilter>
  <mergeCells count="12">
    <mergeCell ref="A1:L1"/>
    <mergeCell ref="A2:G2"/>
    <mergeCell ref="H2:L2"/>
    <mergeCell ref="A3:B3"/>
    <mergeCell ref="C3:L3"/>
    <mergeCell ref="A4:B4"/>
    <mergeCell ref="C4:L4"/>
    <mergeCell ref="A5:B5"/>
    <mergeCell ref="C5:L5"/>
    <mergeCell ref="B402:J402"/>
    <mergeCell ref="L292:L315"/>
    <mergeCell ref="L316:L340"/>
  </mergeCells>
  <conditionalFormatting sqref="C316:C340">
    <cfRule type="duplicateValues" dxfId="0" priority="1"/>
  </conditionalFormatting>
  <printOptions horizontalCentered="1"/>
  <pageMargins left="0.590551181102362" right="0.196850393700787" top="0.393700787401575" bottom="0.393700787401575" header="0.511811023622047" footer="0.15748031496063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C000"/>
  </sheetPr>
  <dimension ref="A1:R336"/>
  <sheetViews>
    <sheetView view="pageBreakPreview" zoomScale="55" zoomScaleNormal="100" workbookViewId="0">
      <pane ySplit="6" topLeftCell="A241" activePane="bottomLeft" state="frozen"/>
      <selection/>
      <selection pane="bottomLeft" activeCell="T258" sqref="T258"/>
    </sheetView>
  </sheetViews>
  <sheetFormatPr defaultColWidth="9" defaultRowHeight="14.25"/>
  <cols>
    <col min="1" max="1" width="5.625" style="5" customWidth="1"/>
    <col min="2" max="2" width="15.625" style="6" customWidth="1"/>
    <col min="3" max="3" width="15.625" style="5" customWidth="1"/>
    <col min="4" max="4" width="25.625" style="5" customWidth="1"/>
    <col min="5" max="5" width="12.625" style="32" customWidth="1"/>
    <col min="6" max="6" width="12.625" style="5" customWidth="1"/>
    <col min="7" max="7" width="12.625" style="33" customWidth="1"/>
    <col min="8" max="8" width="12.625" style="34" customWidth="1"/>
    <col min="9" max="9" width="17.625" style="11" customWidth="1"/>
    <col min="10" max="10" width="13.625" style="43" customWidth="1"/>
    <col min="11" max="11" width="15.625" style="43" customWidth="1"/>
    <col min="12" max="12" width="15.625" style="35" customWidth="1"/>
    <col min="13" max="16384" width="9" style="12"/>
  </cols>
  <sheetData>
    <row r="1" ht="30" customHeight="1" spans="1:12">
      <c r="A1" s="13" t="s">
        <v>0</v>
      </c>
      <c r="B1" s="13"/>
      <c r="C1" s="13"/>
      <c r="D1" s="13"/>
      <c r="E1" s="13"/>
      <c r="F1" s="13"/>
      <c r="G1" s="13"/>
      <c r="H1" s="14"/>
      <c r="I1" s="13"/>
      <c r="J1" s="13"/>
      <c r="K1" s="13"/>
      <c r="L1" s="13"/>
    </row>
    <row r="2" ht="50.1" customHeight="1" spans="1:12">
      <c r="A2" s="15" t="str">
        <f>清单封面!E12</f>
        <v>构件清单-1</v>
      </c>
      <c r="B2" s="15"/>
      <c r="C2" s="15"/>
      <c r="D2" s="15"/>
      <c r="E2" s="15"/>
      <c r="F2" s="15"/>
      <c r="G2" s="15"/>
      <c r="H2" s="16" t="str">
        <f>清单封面!F12</f>
        <v>(普通构件)</v>
      </c>
      <c r="I2" s="16"/>
      <c r="J2" s="16"/>
      <c r="K2" s="16"/>
      <c r="L2" s="16"/>
    </row>
    <row r="3" s="1" customFormat="1" ht="24.95" customHeight="1" spans="1:12">
      <c r="A3" s="3"/>
      <c r="B3" s="3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="2" customFormat="1" ht="24.95" customHeight="1" spans="1:12">
      <c r="A4" s="13" t="str">
        <f>清单封面!B7</f>
        <v>工 程 名 称：</v>
      </c>
      <c r="B4" s="13"/>
      <c r="C4" s="13" t="str">
        <f>清单封面!C7</f>
        <v>第三选矿区C栋宿舍</v>
      </c>
      <c r="D4" s="13"/>
      <c r="E4" s="13"/>
      <c r="F4" s="13"/>
      <c r="G4" s="13"/>
      <c r="H4" s="13"/>
      <c r="I4" s="13"/>
      <c r="J4" s="13"/>
      <c r="K4" s="13"/>
      <c r="L4" s="13"/>
    </row>
    <row r="5" s="2" customFormat="1" ht="24.95" customHeight="1" spans="1:12">
      <c r="A5" s="13" t="str">
        <f>清单封面!B8</f>
        <v>工 程 编 号：</v>
      </c>
      <c r="B5" s="13"/>
      <c r="C5" s="13" t="str">
        <f>清单封面!I12</f>
        <v>HA24575</v>
      </c>
      <c r="D5" s="13"/>
      <c r="E5" s="13"/>
      <c r="F5" s="13"/>
      <c r="G5" s="13"/>
      <c r="H5" s="13"/>
      <c r="I5" s="13"/>
      <c r="J5" s="13"/>
      <c r="K5" s="13"/>
      <c r="L5" s="13"/>
    </row>
    <row r="6" s="3" customFormat="1" ht="24.95" customHeight="1" spans="1:12">
      <c r="A6" s="18" t="s">
        <v>13</v>
      </c>
      <c r="B6" s="59" t="s">
        <v>82</v>
      </c>
      <c r="C6" s="18" t="s">
        <v>83</v>
      </c>
      <c r="D6" s="18" t="s">
        <v>84</v>
      </c>
      <c r="E6" s="18" t="s">
        <v>85</v>
      </c>
      <c r="F6" s="18" t="s">
        <v>73</v>
      </c>
      <c r="G6" s="18" t="s">
        <v>72</v>
      </c>
      <c r="H6" s="19" t="s">
        <v>86</v>
      </c>
      <c r="I6" s="19" t="s">
        <v>87</v>
      </c>
      <c r="J6" s="19" t="s">
        <v>88</v>
      </c>
      <c r="K6" s="19" t="s">
        <v>89</v>
      </c>
      <c r="L6" s="19" t="s">
        <v>16</v>
      </c>
    </row>
    <row r="7" s="4" customFormat="1" ht="24.95" customHeight="1" spans="1:12">
      <c r="A7" s="20">
        <v>1</v>
      </c>
      <c r="B7" s="38" t="s">
        <v>90</v>
      </c>
      <c r="C7" s="38" t="s">
        <v>91</v>
      </c>
      <c r="D7" s="39" t="s">
        <v>92</v>
      </c>
      <c r="E7" s="40">
        <v>7016</v>
      </c>
      <c r="F7" s="39" t="s">
        <v>93</v>
      </c>
      <c r="G7" s="46">
        <v>12</v>
      </c>
      <c r="H7" s="64">
        <v>1164.7</v>
      </c>
      <c r="I7" s="64">
        <v>13976.3</v>
      </c>
      <c r="J7" s="64">
        <v>18.68</v>
      </c>
      <c r="K7" s="64">
        <v>224.17</v>
      </c>
      <c r="L7" s="38"/>
    </row>
    <row r="8" s="4" customFormat="1" ht="24.95" customHeight="1" spans="1:12">
      <c r="A8" s="20">
        <v>2</v>
      </c>
      <c r="B8" s="38" t="s">
        <v>90</v>
      </c>
      <c r="C8" s="39" t="s">
        <v>94</v>
      </c>
      <c r="D8" s="39" t="s">
        <v>92</v>
      </c>
      <c r="E8" s="40">
        <v>7018</v>
      </c>
      <c r="F8" s="39" t="s">
        <v>93</v>
      </c>
      <c r="G8" s="46">
        <v>3</v>
      </c>
      <c r="H8" s="64">
        <v>1164.8</v>
      </c>
      <c r="I8" s="64">
        <v>3494.4</v>
      </c>
      <c r="J8" s="64">
        <v>18.68</v>
      </c>
      <c r="K8" s="64">
        <v>56.05</v>
      </c>
      <c r="L8" s="38"/>
    </row>
    <row r="9" s="4" customFormat="1" ht="24.95" customHeight="1" spans="1:12">
      <c r="A9" s="20">
        <v>3</v>
      </c>
      <c r="B9" s="38" t="s">
        <v>90</v>
      </c>
      <c r="C9" s="39" t="s">
        <v>95</v>
      </c>
      <c r="D9" s="39" t="s">
        <v>92</v>
      </c>
      <c r="E9" s="40">
        <v>7018</v>
      </c>
      <c r="F9" s="39" t="s">
        <v>93</v>
      </c>
      <c r="G9" s="46">
        <v>2</v>
      </c>
      <c r="H9" s="64">
        <v>1164.8</v>
      </c>
      <c r="I9" s="64">
        <v>2329.6</v>
      </c>
      <c r="J9" s="64">
        <v>18.68</v>
      </c>
      <c r="K9" s="64">
        <v>37.37</v>
      </c>
      <c r="L9" s="38"/>
    </row>
    <row r="10" s="4" customFormat="1" ht="24.95" customHeight="1" spans="1:12">
      <c r="A10" s="20">
        <v>4</v>
      </c>
      <c r="B10" s="38" t="s">
        <v>90</v>
      </c>
      <c r="C10" s="39" t="s">
        <v>96</v>
      </c>
      <c r="D10" s="39" t="s">
        <v>92</v>
      </c>
      <c r="E10" s="40">
        <v>6866</v>
      </c>
      <c r="F10" s="39" t="s">
        <v>93</v>
      </c>
      <c r="G10" s="46">
        <v>16</v>
      </c>
      <c r="H10" s="64">
        <v>1137.6</v>
      </c>
      <c r="I10" s="64">
        <v>18201.8</v>
      </c>
      <c r="J10" s="64">
        <v>18.25</v>
      </c>
      <c r="K10" s="64">
        <v>292</v>
      </c>
      <c r="L10" s="38"/>
    </row>
    <row r="11" s="4" customFormat="1" ht="24.95" customHeight="1" spans="1:12">
      <c r="A11" s="20">
        <v>5</v>
      </c>
      <c r="B11" s="38" t="s">
        <v>90</v>
      </c>
      <c r="C11" s="39" t="s">
        <v>97</v>
      </c>
      <c r="D11" s="39" t="s">
        <v>92</v>
      </c>
      <c r="E11" s="40">
        <v>2746</v>
      </c>
      <c r="F11" s="39" t="s">
        <v>93</v>
      </c>
      <c r="G11" s="46">
        <v>1</v>
      </c>
      <c r="H11" s="64">
        <v>444.9</v>
      </c>
      <c r="I11" s="64">
        <v>444.9</v>
      </c>
      <c r="J11" s="64">
        <v>7.1</v>
      </c>
      <c r="K11" s="64">
        <v>7.1</v>
      </c>
      <c r="L11" s="38"/>
    </row>
    <row r="12" s="4" customFormat="1" ht="24.95" customHeight="1" spans="1:12">
      <c r="A12" s="20">
        <v>6</v>
      </c>
      <c r="B12" s="38" t="s">
        <v>90</v>
      </c>
      <c r="C12" s="39" t="s">
        <v>98</v>
      </c>
      <c r="D12" s="39" t="s">
        <v>92</v>
      </c>
      <c r="E12" s="40">
        <v>5805.5</v>
      </c>
      <c r="F12" s="39" t="s">
        <v>93</v>
      </c>
      <c r="G12" s="46">
        <v>1</v>
      </c>
      <c r="H12" s="64">
        <v>965.4</v>
      </c>
      <c r="I12" s="64">
        <v>965.4</v>
      </c>
      <c r="J12" s="64">
        <v>15.38</v>
      </c>
      <c r="K12" s="64">
        <v>15.38</v>
      </c>
      <c r="L12" s="38"/>
    </row>
    <row r="13" s="4" customFormat="1" ht="24.95" customHeight="1" spans="1:12">
      <c r="A13" s="20">
        <v>7</v>
      </c>
      <c r="B13" s="38" t="s">
        <v>90</v>
      </c>
      <c r="C13" s="39" t="s">
        <v>99</v>
      </c>
      <c r="D13" s="39" t="s">
        <v>92</v>
      </c>
      <c r="E13" s="40">
        <v>5956</v>
      </c>
      <c r="F13" s="39" t="s">
        <v>93</v>
      </c>
      <c r="G13" s="46">
        <v>11</v>
      </c>
      <c r="H13" s="64">
        <v>989.7</v>
      </c>
      <c r="I13" s="64">
        <v>10886.4</v>
      </c>
      <c r="J13" s="64">
        <v>15.75</v>
      </c>
      <c r="K13" s="64">
        <v>173.27</v>
      </c>
      <c r="L13" s="38"/>
    </row>
    <row r="14" s="4" customFormat="1" ht="24.95" customHeight="1" spans="1:12">
      <c r="A14" s="20">
        <v>8</v>
      </c>
      <c r="B14" s="38" t="s">
        <v>90</v>
      </c>
      <c r="C14" s="39" t="s">
        <v>100</v>
      </c>
      <c r="D14" s="39" t="s">
        <v>92</v>
      </c>
      <c r="E14" s="40">
        <v>5801</v>
      </c>
      <c r="F14" s="39" t="s">
        <v>93</v>
      </c>
      <c r="G14" s="46">
        <v>1</v>
      </c>
      <c r="H14" s="64">
        <v>964.7</v>
      </c>
      <c r="I14" s="64">
        <v>964.7</v>
      </c>
      <c r="J14" s="64">
        <v>15.37</v>
      </c>
      <c r="K14" s="64">
        <v>15.37</v>
      </c>
      <c r="L14" s="38"/>
    </row>
    <row r="15" s="4" customFormat="1" ht="24.95" customHeight="1" spans="1:12">
      <c r="A15" s="20">
        <v>9</v>
      </c>
      <c r="B15" s="38" t="s">
        <v>90</v>
      </c>
      <c r="C15" s="39" t="s">
        <v>101</v>
      </c>
      <c r="D15" s="39" t="s">
        <v>92</v>
      </c>
      <c r="E15" s="40">
        <v>5801</v>
      </c>
      <c r="F15" s="39" t="s">
        <v>93</v>
      </c>
      <c r="G15" s="46">
        <v>1</v>
      </c>
      <c r="H15" s="64">
        <v>964.7</v>
      </c>
      <c r="I15" s="64">
        <v>964.7</v>
      </c>
      <c r="J15" s="64">
        <v>15.37</v>
      </c>
      <c r="K15" s="64">
        <v>15.37</v>
      </c>
      <c r="L15" s="38"/>
    </row>
    <row r="16" s="4" customFormat="1" ht="24.95" customHeight="1" spans="1:12">
      <c r="A16" s="20">
        <v>10</v>
      </c>
      <c r="B16" s="38" t="s">
        <v>90</v>
      </c>
      <c r="C16" s="39" t="s">
        <v>102</v>
      </c>
      <c r="D16" s="39" t="s">
        <v>92</v>
      </c>
      <c r="E16" s="40">
        <v>5956</v>
      </c>
      <c r="F16" s="39" t="s">
        <v>93</v>
      </c>
      <c r="G16" s="46">
        <v>3</v>
      </c>
      <c r="H16" s="64">
        <v>989.7</v>
      </c>
      <c r="I16" s="64">
        <v>2969</v>
      </c>
      <c r="J16" s="64">
        <v>15.75</v>
      </c>
      <c r="K16" s="64">
        <v>47.25</v>
      </c>
      <c r="L16" s="38"/>
    </row>
    <row r="17" s="4" customFormat="1" ht="24.95" customHeight="1" spans="1:12">
      <c r="A17" s="20">
        <v>11</v>
      </c>
      <c r="B17" s="38" t="s">
        <v>90</v>
      </c>
      <c r="C17" s="39" t="s">
        <v>103</v>
      </c>
      <c r="D17" s="39" t="s">
        <v>104</v>
      </c>
      <c r="E17" s="40">
        <v>2679.5</v>
      </c>
      <c r="F17" s="39" t="s">
        <v>93</v>
      </c>
      <c r="G17" s="46">
        <v>10</v>
      </c>
      <c r="H17" s="64">
        <v>131.3</v>
      </c>
      <c r="I17" s="64">
        <v>1312.5</v>
      </c>
      <c r="J17" s="64">
        <v>3.72</v>
      </c>
      <c r="K17" s="64">
        <v>37.21</v>
      </c>
      <c r="L17" s="38"/>
    </row>
    <row r="18" s="4" customFormat="1" ht="24.95" customHeight="1" spans="1:12">
      <c r="A18" s="20">
        <v>12</v>
      </c>
      <c r="B18" s="38" t="s">
        <v>90</v>
      </c>
      <c r="C18" s="39" t="s">
        <v>105</v>
      </c>
      <c r="D18" s="39" t="s">
        <v>104</v>
      </c>
      <c r="E18" s="40">
        <v>2575</v>
      </c>
      <c r="F18" s="39" t="s">
        <v>93</v>
      </c>
      <c r="G18" s="46">
        <v>12</v>
      </c>
      <c r="H18" s="64">
        <v>126.1</v>
      </c>
      <c r="I18" s="64">
        <v>1513.6</v>
      </c>
      <c r="J18" s="64">
        <v>3.58</v>
      </c>
      <c r="K18" s="64">
        <v>42.92</v>
      </c>
      <c r="L18" s="38"/>
    </row>
    <row r="19" s="4" customFormat="1" ht="24.95" customHeight="1" spans="1:12">
      <c r="A19" s="20">
        <v>13</v>
      </c>
      <c r="B19" s="38" t="s">
        <v>90</v>
      </c>
      <c r="C19" s="39" t="s">
        <v>106</v>
      </c>
      <c r="D19" s="39" t="s">
        <v>104</v>
      </c>
      <c r="E19" s="40">
        <v>2780</v>
      </c>
      <c r="F19" s="39" t="s">
        <v>93</v>
      </c>
      <c r="G19" s="46">
        <v>206</v>
      </c>
      <c r="H19" s="64">
        <v>136.2</v>
      </c>
      <c r="I19" s="64">
        <v>28052.2</v>
      </c>
      <c r="J19" s="64">
        <v>3.86</v>
      </c>
      <c r="K19" s="64">
        <v>795.16</v>
      </c>
      <c r="L19" s="38"/>
    </row>
    <row r="20" s="4" customFormat="1" ht="24.95" customHeight="1" spans="1:12">
      <c r="A20" s="20">
        <v>14</v>
      </c>
      <c r="B20" s="38" t="s">
        <v>90</v>
      </c>
      <c r="C20" s="39" t="s">
        <v>107</v>
      </c>
      <c r="D20" s="39" t="s">
        <v>104</v>
      </c>
      <c r="E20" s="40">
        <v>2880</v>
      </c>
      <c r="F20" s="39" t="s">
        <v>93</v>
      </c>
      <c r="G20" s="46">
        <v>14</v>
      </c>
      <c r="H20" s="64">
        <v>141.1</v>
      </c>
      <c r="I20" s="64">
        <v>1975</v>
      </c>
      <c r="J20" s="64">
        <v>4</v>
      </c>
      <c r="K20" s="64">
        <v>55.98</v>
      </c>
      <c r="L20" s="38"/>
    </row>
    <row r="21" s="4" customFormat="1" ht="24.95" customHeight="1" spans="1:12">
      <c r="A21" s="20">
        <v>15</v>
      </c>
      <c r="B21" s="38" t="s">
        <v>90</v>
      </c>
      <c r="C21" s="39" t="s">
        <v>108</v>
      </c>
      <c r="D21" s="39" t="s">
        <v>109</v>
      </c>
      <c r="E21" s="40">
        <v>2575</v>
      </c>
      <c r="F21" s="39" t="s">
        <v>93</v>
      </c>
      <c r="G21" s="46">
        <v>8</v>
      </c>
      <c r="H21" s="64">
        <v>125.5</v>
      </c>
      <c r="I21" s="64">
        <v>1003.9</v>
      </c>
      <c r="J21" s="64">
        <v>3.06</v>
      </c>
      <c r="K21" s="64">
        <v>24.49</v>
      </c>
      <c r="L21" s="38"/>
    </row>
    <row r="22" s="4" customFormat="1" ht="24.95" customHeight="1" spans="1:12">
      <c r="A22" s="20">
        <v>16</v>
      </c>
      <c r="B22" s="38" t="s">
        <v>90</v>
      </c>
      <c r="C22" s="39" t="s">
        <v>110</v>
      </c>
      <c r="D22" s="39" t="s">
        <v>92</v>
      </c>
      <c r="E22" s="40">
        <v>2847</v>
      </c>
      <c r="F22" s="39" t="s">
        <v>93</v>
      </c>
      <c r="G22" s="46">
        <v>1</v>
      </c>
      <c r="H22" s="64">
        <v>473.9</v>
      </c>
      <c r="I22" s="64">
        <v>473.9</v>
      </c>
      <c r="J22" s="64">
        <v>7.53</v>
      </c>
      <c r="K22" s="64">
        <v>7.53</v>
      </c>
      <c r="L22" s="38"/>
    </row>
    <row r="23" s="4" customFormat="1" ht="24.95" customHeight="1" spans="1:12">
      <c r="A23" s="20">
        <v>17</v>
      </c>
      <c r="B23" s="38" t="s">
        <v>90</v>
      </c>
      <c r="C23" s="39" t="s">
        <v>111</v>
      </c>
      <c r="D23" s="39" t="s">
        <v>92</v>
      </c>
      <c r="E23" s="40">
        <v>2837</v>
      </c>
      <c r="F23" s="39" t="s">
        <v>93</v>
      </c>
      <c r="G23" s="46">
        <v>1</v>
      </c>
      <c r="H23" s="64">
        <v>473.2</v>
      </c>
      <c r="I23" s="64">
        <v>473.2</v>
      </c>
      <c r="J23" s="64">
        <v>7.54</v>
      </c>
      <c r="K23" s="64">
        <v>7.54</v>
      </c>
      <c r="L23" s="38"/>
    </row>
    <row r="24" s="4" customFormat="1" ht="24.95" customHeight="1" spans="1:12">
      <c r="A24" s="20">
        <v>18</v>
      </c>
      <c r="B24" s="38" t="s">
        <v>90</v>
      </c>
      <c r="C24" s="39" t="s">
        <v>112</v>
      </c>
      <c r="D24" s="39" t="s">
        <v>92</v>
      </c>
      <c r="E24" s="40">
        <v>1605.5</v>
      </c>
      <c r="F24" s="39" t="s">
        <v>93</v>
      </c>
      <c r="G24" s="46">
        <v>1</v>
      </c>
      <c r="H24" s="64">
        <v>272.3</v>
      </c>
      <c r="I24" s="64">
        <v>272.3</v>
      </c>
      <c r="J24" s="64">
        <v>4.43</v>
      </c>
      <c r="K24" s="64">
        <v>4.43</v>
      </c>
      <c r="L24" s="38"/>
    </row>
    <row r="25" s="4" customFormat="1" ht="24.95" customHeight="1" spans="1:12">
      <c r="A25" s="20">
        <v>19</v>
      </c>
      <c r="B25" s="38" t="s">
        <v>90</v>
      </c>
      <c r="C25" s="39" t="s">
        <v>113</v>
      </c>
      <c r="D25" s="39" t="s">
        <v>104</v>
      </c>
      <c r="E25" s="40">
        <v>1522.5</v>
      </c>
      <c r="F25" s="39" t="s">
        <v>93</v>
      </c>
      <c r="G25" s="46">
        <v>1</v>
      </c>
      <c r="H25" s="64">
        <v>75.3</v>
      </c>
      <c r="I25" s="64">
        <v>75.3</v>
      </c>
      <c r="J25" s="64">
        <v>2.15</v>
      </c>
      <c r="K25" s="64">
        <v>2.15</v>
      </c>
      <c r="L25" s="38"/>
    </row>
    <row r="26" s="4" customFormat="1" ht="24.95" customHeight="1" spans="1:12">
      <c r="A26" s="20">
        <v>20</v>
      </c>
      <c r="B26" s="38" t="s">
        <v>90</v>
      </c>
      <c r="C26" s="39" t="s">
        <v>114</v>
      </c>
      <c r="D26" s="39" t="s">
        <v>104</v>
      </c>
      <c r="E26" s="40">
        <v>2534</v>
      </c>
      <c r="F26" s="39" t="s">
        <v>93</v>
      </c>
      <c r="G26" s="46">
        <v>1</v>
      </c>
      <c r="H26" s="64">
        <v>125.2</v>
      </c>
      <c r="I26" s="64">
        <v>125.2</v>
      </c>
      <c r="J26" s="64">
        <v>3.56</v>
      </c>
      <c r="K26" s="64">
        <v>3.56</v>
      </c>
      <c r="L26" s="38"/>
    </row>
    <row r="27" s="4" customFormat="1" ht="24.95" customHeight="1" spans="1:12">
      <c r="A27" s="20">
        <v>21</v>
      </c>
      <c r="B27" s="38" t="s">
        <v>90</v>
      </c>
      <c r="C27" s="39" t="s">
        <v>115</v>
      </c>
      <c r="D27" s="39" t="s">
        <v>104</v>
      </c>
      <c r="E27" s="40">
        <v>2616.5</v>
      </c>
      <c r="F27" s="39" t="s">
        <v>93</v>
      </c>
      <c r="G27" s="46">
        <v>1</v>
      </c>
      <c r="H27" s="64">
        <v>128.5</v>
      </c>
      <c r="I27" s="64">
        <v>128.5</v>
      </c>
      <c r="J27" s="64">
        <v>3.65</v>
      </c>
      <c r="K27" s="64">
        <v>3.65</v>
      </c>
      <c r="L27" s="38"/>
    </row>
    <row r="28" s="4" customFormat="1" ht="24.95" customHeight="1" spans="1:12">
      <c r="A28" s="20">
        <v>22</v>
      </c>
      <c r="B28" s="38" t="s">
        <v>90</v>
      </c>
      <c r="C28" s="39" t="s">
        <v>116</v>
      </c>
      <c r="D28" s="39" t="s">
        <v>117</v>
      </c>
      <c r="E28" s="40">
        <v>9470</v>
      </c>
      <c r="F28" s="39" t="s">
        <v>93</v>
      </c>
      <c r="G28" s="46">
        <v>15</v>
      </c>
      <c r="H28" s="64">
        <v>1141.6</v>
      </c>
      <c r="I28" s="64">
        <v>17123.8</v>
      </c>
      <c r="J28" s="64">
        <v>20.21</v>
      </c>
      <c r="K28" s="64">
        <v>303.19</v>
      </c>
      <c r="L28" s="38"/>
    </row>
    <row r="29" s="4" customFormat="1" ht="24.95" customHeight="1" spans="1:12">
      <c r="A29" s="20">
        <v>23</v>
      </c>
      <c r="B29" s="38" t="s">
        <v>90</v>
      </c>
      <c r="C29" s="39" t="s">
        <v>118</v>
      </c>
      <c r="D29" s="39" t="s">
        <v>117</v>
      </c>
      <c r="E29" s="40">
        <v>6970</v>
      </c>
      <c r="F29" s="39" t="s">
        <v>93</v>
      </c>
      <c r="G29" s="46">
        <v>16</v>
      </c>
      <c r="H29" s="64">
        <v>838.4</v>
      </c>
      <c r="I29" s="64">
        <v>13413.8</v>
      </c>
      <c r="J29" s="64">
        <v>14.87</v>
      </c>
      <c r="K29" s="64">
        <v>238</v>
      </c>
      <c r="L29" s="38"/>
    </row>
    <row r="30" s="4" customFormat="1" ht="24.95" customHeight="1" spans="1:12">
      <c r="A30" s="20">
        <v>24</v>
      </c>
      <c r="B30" s="38" t="s">
        <v>90</v>
      </c>
      <c r="C30" s="39" t="s">
        <v>119</v>
      </c>
      <c r="D30" s="39" t="s">
        <v>104</v>
      </c>
      <c r="E30" s="40">
        <v>2525</v>
      </c>
      <c r="F30" s="39" t="s">
        <v>93</v>
      </c>
      <c r="G30" s="46">
        <v>6</v>
      </c>
      <c r="H30" s="64">
        <v>123.7</v>
      </c>
      <c r="I30" s="64">
        <v>742.1</v>
      </c>
      <c r="J30" s="64">
        <v>3.51</v>
      </c>
      <c r="K30" s="64">
        <v>21.04</v>
      </c>
      <c r="L30" s="38"/>
    </row>
    <row r="31" s="4" customFormat="1" ht="24.95" customHeight="1" spans="1:12">
      <c r="A31" s="20">
        <v>25</v>
      </c>
      <c r="B31" s="38" t="s">
        <v>90</v>
      </c>
      <c r="C31" s="39" t="s">
        <v>120</v>
      </c>
      <c r="D31" s="39" t="s">
        <v>104</v>
      </c>
      <c r="E31" s="40">
        <v>2680</v>
      </c>
      <c r="F31" s="39" t="s">
        <v>93</v>
      </c>
      <c r="G31" s="46">
        <v>183</v>
      </c>
      <c r="H31" s="64">
        <v>131.3</v>
      </c>
      <c r="I31" s="64">
        <v>24023.7</v>
      </c>
      <c r="J31" s="64">
        <v>3.72</v>
      </c>
      <c r="K31" s="64">
        <v>681.05</v>
      </c>
      <c r="L31" s="38"/>
    </row>
    <row r="32" s="4" customFormat="1" ht="24.95" customHeight="1" spans="1:12">
      <c r="A32" s="20">
        <v>26</v>
      </c>
      <c r="B32" s="38" t="s">
        <v>90</v>
      </c>
      <c r="C32" s="39" t="s">
        <v>121</v>
      </c>
      <c r="D32" s="39" t="s">
        <v>104</v>
      </c>
      <c r="E32" s="40">
        <v>2529.5</v>
      </c>
      <c r="F32" s="39" t="s">
        <v>93</v>
      </c>
      <c r="G32" s="46">
        <v>9</v>
      </c>
      <c r="H32" s="64">
        <v>123.9</v>
      </c>
      <c r="I32" s="64">
        <v>1115.1</v>
      </c>
      <c r="J32" s="64">
        <v>3.51</v>
      </c>
      <c r="K32" s="64">
        <v>31.62</v>
      </c>
      <c r="L32" s="38"/>
    </row>
    <row r="33" s="4" customFormat="1" ht="24.95" customHeight="1" spans="1:12">
      <c r="A33" s="20">
        <v>27</v>
      </c>
      <c r="B33" s="38" t="s">
        <v>90</v>
      </c>
      <c r="C33" s="39" t="s">
        <v>122</v>
      </c>
      <c r="D33" s="39" t="s">
        <v>104</v>
      </c>
      <c r="E33" s="40">
        <v>2130</v>
      </c>
      <c r="F33" s="39" t="s">
        <v>93</v>
      </c>
      <c r="G33" s="46">
        <v>34</v>
      </c>
      <c r="H33" s="64">
        <v>104.3</v>
      </c>
      <c r="I33" s="64">
        <v>3547.4</v>
      </c>
      <c r="J33" s="64">
        <v>2.96</v>
      </c>
      <c r="K33" s="64">
        <v>100.65</v>
      </c>
      <c r="L33" s="38"/>
    </row>
    <row r="34" s="4" customFormat="1" ht="24.95" customHeight="1" spans="1:12">
      <c r="A34" s="20">
        <v>28</v>
      </c>
      <c r="B34" s="38" t="s">
        <v>90</v>
      </c>
      <c r="C34" s="39" t="s">
        <v>123</v>
      </c>
      <c r="D34" s="39" t="s">
        <v>104</v>
      </c>
      <c r="E34" s="40">
        <v>2374.5</v>
      </c>
      <c r="F34" s="39" t="s">
        <v>93</v>
      </c>
      <c r="G34" s="46">
        <v>2</v>
      </c>
      <c r="H34" s="64">
        <v>116.3</v>
      </c>
      <c r="I34" s="64">
        <v>232.6</v>
      </c>
      <c r="J34" s="64">
        <v>3.3</v>
      </c>
      <c r="K34" s="64">
        <v>6.6</v>
      </c>
      <c r="L34" s="38"/>
    </row>
    <row r="35" s="4" customFormat="1" ht="24.95" customHeight="1" spans="1:12">
      <c r="A35" s="20">
        <v>29</v>
      </c>
      <c r="B35" s="38" t="s">
        <v>90</v>
      </c>
      <c r="C35" s="39" t="s">
        <v>124</v>
      </c>
      <c r="D35" s="39" t="s">
        <v>104</v>
      </c>
      <c r="E35" s="40">
        <v>2830</v>
      </c>
      <c r="F35" s="39" t="s">
        <v>93</v>
      </c>
      <c r="G35" s="46">
        <v>6</v>
      </c>
      <c r="H35" s="64">
        <v>138.6</v>
      </c>
      <c r="I35" s="64">
        <v>831.8</v>
      </c>
      <c r="J35" s="64">
        <v>3.93</v>
      </c>
      <c r="K35" s="64">
        <v>23.58</v>
      </c>
      <c r="L35" s="38"/>
    </row>
    <row r="36" s="4" customFormat="1" ht="24.95" customHeight="1" spans="1:12">
      <c r="A36" s="20">
        <v>30</v>
      </c>
      <c r="B36" s="38" t="s">
        <v>90</v>
      </c>
      <c r="C36" s="39" t="s">
        <v>125</v>
      </c>
      <c r="D36" s="39" t="s">
        <v>109</v>
      </c>
      <c r="E36" s="40">
        <v>2575</v>
      </c>
      <c r="F36" s="39" t="s">
        <v>93</v>
      </c>
      <c r="G36" s="46">
        <v>2</v>
      </c>
      <c r="H36" s="64">
        <v>125.5</v>
      </c>
      <c r="I36" s="64">
        <v>251</v>
      </c>
      <c r="J36" s="64">
        <v>3.06</v>
      </c>
      <c r="K36" s="64">
        <v>6.12</v>
      </c>
      <c r="L36" s="38"/>
    </row>
    <row r="37" s="4" customFormat="1" ht="24.95" customHeight="1" spans="1:12">
      <c r="A37" s="20">
        <v>31</v>
      </c>
      <c r="B37" s="38" t="s">
        <v>90</v>
      </c>
      <c r="C37" s="39" t="s">
        <v>126</v>
      </c>
      <c r="D37" s="39" t="s">
        <v>109</v>
      </c>
      <c r="E37" s="40">
        <v>2107.5</v>
      </c>
      <c r="F37" s="39" t="s">
        <v>93</v>
      </c>
      <c r="G37" s="46">
        <v>1</v>
      </c>
      <c r="H37" s="64">
        <v>103.7</v>
      </c>
      <c r="I37" s="64">
        <v>103.7</v>
      </c>
      <c r="J37" s="64">
        <v>2.54</v>
      </c>
      <c r="K37" s="64">
        <v>2.54</v>
      </c>
      <c r="L37" s="38"/>
    </row>
    <row r="38" s="4" customFormat="1" ht="24.95" customHeight="1" spans="1:12">
      <c r="A38" s="20">
        <v>32</v>
      </c>
      <c r="B38" s="38" t="s">
        <v>90</v>
      </c>
      <c r="C38" s="39" t="s">
        <v>127</v>
      </c>
      <c r="D38" s="39" t="s">
        <v>104</v>
      </c>
      <c r="E38" s="40">
        <v>2484</v>
      </c>
      <c r="F38" s="39" t="s">
        <v>93</v>
      </c>
      <c r="G38" s="46">
        <v>1</v>
      </c>
      <c r="H38" s="64">
        <v>122.8</v>
      </c>
      <c r="I38" s="64">
        <v>122.8</v>
      </c>
      <c r="J38" s="64">
        <v>3.49</v>
      </c>
      <c r="K38" s="64">
        <v>3.49</v>
      </c>
      <c r="L38" s="38"/>
    </row>
    <row r="39" s="4" customFormat="1" ht="24.95" customHeight="1" spans="1:12">
      <c r="A39" s="20">
        <v>33</v>
      </c>
      <c r="B39" s="38" t="s">
        <v>90</v>
      </c>
      <c r="C39" s="39" t="s">
        <v>128</v>
      </c>
      <c r="D39" s="39" t="s">
        <v>104</v>
      </c>
      <c r="E39" s="40">
        <v>2280</v>
      </c>
      <c r="F39" s="39" t="s">
        <v>93</v>
      </c>
      <c r="G39" s="46">
        <v>2</v>
      </c>
      <c r="H39" s="64">
        <v>111.7</v>
      </c>
      <c r="I39" s="64">
        <v>223.4</v>
      </c>
      <c r="J39" s="64">
        <v>3.17</v>
      </c>
      <c r="K39" s="64">
        <v>6.34</v>
      </c>
      <c r="L39" s="38"/>
    </row>
    <row r="40" s="4" customFormat="1" ht="24.95" customHeight="1" spans="1:12">
      <c r="A40" s="20">
        <v>34</v>
      </c>
      <c r="B40" s="38" t="s">
        <v>90</v>
      </c>
      <c r="C40" s="39" t="s">
        <v>129</v>
      </c>
      <c r="D40" s="39" t="s">
        <v>109</v>
      </c>
      <c r="E40" s="40">
        <v>2579.5</v>
      </c>
      <c r="F40" s="39" t="s">
        <v>93</v>
      </c>
      <c r="G40" s="46">
        <v>2</v>
      </c>
      <c r="H40" s="64">
        <v>125.7</v>
      </c>
      <c r="I40" s="64">
        <v>251.4</v>
      </c>
      <c r="J40" s="64">
        <v>3.07</v>
      </c>
      <c r="K40" s="64">
        <v>6.13</v>
      </c>
      <c r="L40" s="38"/>
    </row>
    <row r="41" s="4" customFormat="1" ht="24.95" customHeight="1" spans="1:12">
      <c r="A41" s="20">
        <v>35</v>
      </c>
      <c r="B41" s="38" t="s">
        <v>90</v>
      </c>
      <c r="C41" s="39" t="s">
        <v>130</v>
      </c>
      <c r="D41" s="39" t="s">
        <v>109</v>
      </c>
      <c r="E41" s="40">
        <v>2780</v>
      </c>
      <c r="F41" s="39" t="s">
        <v>93</v>
      </c>
      <c r="G41" s="46">
        <v>61</v>
      </c>
      <c r="H41" s="64">
        <v>135.5</v>
      </c>
      <c r="I41" s="64">
        <v>8264.1</v>
      </c>
      <c r="J41" s="64">
        <v>3.3</v>
      </c>
      <c r="K41" s="64">
        <v>201.54</v>
      </c>
      <c r="L41" s="38"/>
    </row>
    <row r="42" s="4" customFormat="1" ht="24.95" customHeight="1" spans="1:12">
      <c r="A42" s="20">
        <v>36</v>
      </c>
      <c r="B42" s="38" t="s">
        <v>90</v>
      </c>
      <c r="C42" s="39" t="s">
        <v>131</v>
      </c>
      <c r="D42" s="39" t="s">
        <v>109</v>
      </c>
      <c r="E42" s="40">
        <v>2529</v>
      </c>
      <c r="F42" s="39" t="s">
        <v>93</v>
      </c>
      <c r="G42" s="46">
        <v>1</v>
      </c>
      <c r="H42" s="64">
        <v>123.2</v>
      </c>
      <c r="I42" s="64">
        <v>123.2</v>
      </c>
      <c r="J42" s="64">
        <v>3.01</v>
      </c>
      <c r="K42" s="64">
        <v>3.01</v>
      </c>
      <c r="L42" s="38"/>
    </row>
    <row r="43" s="4" customFormat="1" ht="24.95" customHeight="1" spans="1:12">
      <c r="A43" s="20">
        <v>37</v>
      </c>
      <c r="B43" s="38" t="s">
        <v>90</v>
      </c>
      <c r="C43" s="39" t="s">
        <v>132</v>
      </c>
      <c r="D43" s="39" t="s">
        <v>109</v>
      </c>
      <c r="E43" s="40">
        <v>2679.5</v>
      </c>
      <c r="F43" s="39" t="s">
        <v>93</v>
      </c>
      <c r="G43" s="46">
        <v>3</v>
      </c>
      <c r="H43" s="64">
        <v>130.6</v>
      </c>
      <c r="I43" s="64">
        <v>391.7</v>
      </c>
      <c r="J43" s="64">
        <v>3.18</v>
      </c>
      <c r="K43" s="64">
        <v>9.55</v>
      </c>
      <c r="L43" s="38"/>
    </row>
    <row r="44" s="4" customFormat="1" ht="24.95" customHeight="1" spans="1:12">
      <c r="A44" s="20">
        <v>38</v>
      </c>
      <c r="B44" s="38" t="s">
        <v>90</v>
      </c>
      <c r="C44" s="39" t="s">
        <v>133</v>
      </c>
      <c r="D44" s="39" t="s">
        <v>109</v>
      </c>
      <c r="E44" s="40">
        <v>3012.5</v>
      </c>
      <c r="F44" s="39" t="s">
        <v>93</v>
      </c>
      <c r="G44" s="46">
        <v>3</v>
      </c>
      <c r="H44" s="64">
        <v>146.8</v>
      </c>
      <c r="I44" s="64">
        <v>440.4</v>
      </c>
      <c r="J44" s="64">
        <v>3.58</v>
      </c>
      <c r="K44" s="64">
        <v>10.74</v>
      </c>
      <c r="L44" s="38"/>
    </row>
    <row r="45" s="4" customFormat="1" ht="24.95" customHeight="1" spans="1:12">
      <c r="A45" s="20">
        <v>39</v>
      </c>
      <c r="B45" s="38" t="s">
        <v>90</v>
      </c>
      <c r="C45" s="39" t="s">
        <v>134</v>
      </c>
      <c r="D45" s="39" t="s">
        <v>109</v>
      </c>
      <c r="E45" s="40">
        <v>2442.5</v>
      </c>
      <c r="F45" s="39" t="s">
        <v>93</v>
      </c>
      <c r="G45" s="46">
        <v>2</v>
      </c>
      <c r="H45" s="64">
        <v>119</v>
      </c>
      <c r="I45" s="64">
        <v>238.1</v>
      </c>
      <c r="J45" s="64">
        <v>2.9</v>
      </c>
      <c r="K45" s="64">
        <v>5.81</v>
      </c>
      <c r="L45" s="38"/>
    </row>
    <row r="46" s="4" customFormat="1" ht="24.95" customHeight="1" spans="1:12">
      <c r="A46" s="20">
        <v>40</v>
      </c>
      <c r="B46" s="38" t="s">
        <v>90</v>
      </c>
      <c r="C46" s="39" t="s">
        <v>135</v>
      </c>
      <c r="D46" s="39" t="s">
        <v>109</v>
      </c>
      <c r="E46" s="40">
        <v>2674.5</v>
      </c>
      <c r="F46" s="39" t="s">
        <v>93</v>
      </c>
      <c r="G46" s="46">
        <v>1</v>
      </c>
      <c r="H46" s="64">
        <v>130.3</v>
      </c>
      <c r="I46" s="64">
        <v>130.3</v>
      </c>
      <c r="J46" s="64">
        <v>3.18</v>
      </c>
      <c r="K46" s="64">
        <v>3.18</v>
      </c>
      <c r="L46" s="38"/>
    </row>
    <row r="47" s="4" customFormat="1" ht="24.95" customHeight="1" spans="1:12">
      <c r="A47" s="20">
        <v>41</v>
      </c>
      <c r="B47" s="38" t="s">
        <v>90</v>
      </c>
      <c r="C47" s="39" t="s">
        <v>136</v>
      </c>
      <c r="D47" s="39" t="s">
        <v>137</v>
      </c>
      <c r="E47" s="40">
        <v>4528</v>
      </c>
      <c r="F47" s="39" t="s">
        <v>93</v>
      </c>
      <c r="G47" s="46">
        <v>4</v>
      </c>
      <c r="H47" s="64">
        <v>324.2</v>
      </c>
      <c r="I47" s="64">
        <v>1296.8</v>
      </c>
      <c r="J47" s="64">
        <v>6.65</v>
      </c>
      <c r="K47" s="64">
        <v>26.59</v>
      </c>
      <c r="L47" s="38"/>
    </row>
    <row r="48" s="4" customFormat="1" ht="24.95" customHeight="1" spans="1:12">
      <c r="A48" s="20">
        <v>42</v>
      </c>
      <c r="B48" s="38" t="s">
        <v>90</v>
      </c>
      <c r="C48" s="39" t="s">
        <v>138</v>
      </c>
      <c r="D48" s="39" t="s">
        <v>137</v>
      </c>
      <c r="E48" s="40">
        <v>6258.3</v>
      </c>
      <c r="F48" s="39" t="s">
        <v>93</v>
      </c>
      <c r="G48" s="46">
        <v>2</v>
      </c>
      <c r="H48" s="64">
        <v>450.4</v>
      </c>
      <c r="I48" s="64">
        <v>900.8</v>
      </c>
      <c r="J48" s="64">
        <v>9.23</v>
      </c>
      <c r="K48" s="64">
        <v>18.46</v>
      </c>
      <c r="L48" s="38"/>
    </row>
    <row r="49" s="4" customFormat="1" ht="24.95" customHeight="1" spans="1:12">
      <c r="A49" s="20">
        <v>43</v>
      </c>
      <c r="B49" s="38" t="s">
        <v>90</v>
      </c>
      <c r="C49" s="39" t="s">
        <v>139</v>
      </c>
      <c r="D49" s="39" t="s">
        <v>137</v>
      </c>
      <c r="E49" s="40">
        <v>5653.3</v>
      </c>
      <c r="F49" s="39" t="s">
        <v>93</v>
      </c>
      <c r="G49" s="46">
        <v>2</v>
      </c>
      <c r="H49" s="64">
        <v>406.3</v>
      </c>
      <c r="I49" s="64">
        <v>812.7</v>
      </c>
      <c r="J49" s="64">
        <v>8.33</v>
      </c>
      <c r="K49" s="64">
        <v>16.66</v>
      </c>
      <c r="L49" s="38"/>
    </row>
    <row r="50" s="4" customFormat="1" ht="24.95" customHeight="1" spans="1:12">
      <c r="A50" s="20">
        <v>44</v>
      </c>
      <c r="B50" s="38" t="s">
        <v>90</v>
      </c>
      <c r="C50" s="39" t="s">
        <v>140</v>
      </c>
      <c r="D50" s="39" t="s">
        <v>109</v>
      </c>
      <c r="E50" s="40">
        <v>2447</v>
      </c>
      <c r="F50" s="39" t="s">
        <v>93</v>
      </c>
      <c r="G50" s="46">
        <v>1</v>
      </c>
      <c r="H50" s="64">
        <v>119.2</v>
      </c>
      <c r="I50" s="64">
        <v>119.2</v>
      </c>
      <c r="J50" s="64">
        <v>2.91</v>
      </c>
      <c r="K50" s="64">
        <v>2.91</v>
      </c>
      <c r="L50" s="38"/>
    </row>
    <row r="51" s="4" customFormat="1" ht="24.95" customHeight="1" spans="1:12">
      <c r="A51" s="20">
        <v>45</v>
      </c>
      <c r="B51" s="38" t="s">
        <v>90</v>
      </c>
      <c r="C51" s="39" t="s">
        <v>141</v>
      </c>
      <c r="D51" s="39" t="s">
        <v>142</v>
      </c>
      <c r="E51" s="40">
        <v>2095</v>
      </c>
      <c r="F51" s="39" t="s">
        <v>93</v>
      </c>
      <c r="G51" s="46">
        <v>1</v>
      </c>
      <c r="H51" s="64">
        <v>203.5</v>
      </c>
      <c r="I51" s="64">
        <v>203.5</v>
      </c>
      <c r="J51" s="64">
        <v>4.27</v>
      </c>
      <c r="K51" s="64">
        <v>4.27</v>
      </c>
      <c r="L51" s="38"/>
    </row>
    <row r="52" s="4" customFormat="1" ht="24.95" customHeight="1" spans="1:12">
      <c r="A52" s="20">
        <v>46</v>
      </c>
      <c r="B52" s="38" t="s">
        <v>90</v>
      </c>
      <c r="C52" s="39" t="s">
        <v>143</v>
      </c>
      <c r="D52" s="39" t="s">
        <v>142</v>
      </c>
      <c r="E52" s="40">
        <v>4741</v>
      </c>
      <c r="F52" s="39" t="s">
        <v>93</v>
      </c>
      <c r="G52" s="46">
        <v>4</v>
      </c>
      <c r="H52" s="64">
        <v>394.8</v>
      </c>
      <c r="I52" s="64">
        <v>1579.4</v>
      </c>
      <c r="J52" s="64">
        <v>8.14</v>
      </c>
      <c r="K52" s="64">
        <v>32.55</v>
      </c>
      <c r="L52" s="38"/>
    </row>
    <row r="53" s="4" customFormat="1" ht="24.95" customHeight="1" spans="1:12">
      <c r="A53" s="20">
        <v>47</v>
      </c>
      <c r="B53" s="38" t="s">
        <v>90</v>
      </c>
      <c r="C53" s="39" t="s">
        <v>144</v>
      </c>
      <c r="D53" s="39" t="s">
        <v>142</v>
      </c>
      <c r="E53" s="40">
        <v>6461.4</v>
      </c>
      <c r="F53" s="39" t="s">
        <v>93</v>
      </c>
      <c r="G53" s="46">
        <v>2</v>
      </c>
      <c r="H53" s="64">
        <v>546.5</v>
      </c>
      <c r="I53" s="64">
        <v>1092.9</v>
      </c>
      <c r="J53" s="64">
        <v>11.24</v>
      </c>
      <c r="K53" s="64">
        <v>22.48</v>
      </c>
      <c r="L53" s="38"/>
    </row>
    <row r="54" s="4" customFormat="1" ht="24.95" customHeight="1" spans="1:12">
      <c r="A54" s="20">
        <v>48</v>
      </c>
      <c r="B54" s="38" t="s">
        <v>90</v>
      </c>
      <c r="C54" s="39" t="s">
        <v>145</v>
      </c>
      <c r="D54" s="39" t="s">
        <v>142</v>
      </c>
      <c r="E54" s="40">
        <v>5859.1</v>
      </c>
      <c r="F54" s="39" t="s">
        <v>93</v>
      </c>
      <c r="G54" s="46">
        <v>2</v>
      </c>
      <c r="H54" s="64">
        <v>493.5</v>
      </c>
      <c r="I54" s="64">
        <v>987</v>
      </c>
      <c r="J54" s="64">
        <v>10.16</v>
      </c>
      <c r="K54" s="64">
        <v>20.31</v>
      </c>
      <c r="L54" s="38"/>
    </row>
    <row r="55" s="4" customFormat="1" ht="24.95" customHeight="1" spans="1:12">
      <c r="A55" s="20">
        <v>49</v>
      </c>
      <c r="B55" s="38" t="s">
        <v>146</v>
      </c>
      <c r="C55" s="39" t="s">
        <v>147</v>
      </c>
      <c r="D55" s="39" t="s">
        <v>137</v>
      </c>
      <c r="E55" s="40">
        <v>2887</v>
      </c>
      <c r="F55" s="39" t="s">
        <v>93</v>
      </c>
      <c r="G55" s="46">
        <v>48</v>
      </c>
      <c r="H55" s="64">
        <v>216.3</v>
      </c>
      <c r="I55" s="64">
        <v>10380.2</v>
      </c>
      <c r="J55" s="64">
        <v>4.66</v>
      </c>
      <c r="K55" s="64">
        <v>223.8</v>
      </c>
      <c r="L55" s="38"/>
    </row>
    <row r="56" s="4" customFormat="1" ht="24.95" customHeight="1" spans="1:12">
      <c r="A56" s="20">
        <v>50</v>
      </c>
      <c r="B56" s="38" t="s">
        <v>146</v>
      </c>
      <c r="C56" s="39" t="s">
        <v>148</v>
      </c>
      <c r="D56" s="39" t="s">
        <v>137</v>
      </c>
      <c r="E56" s="40">
        <v>1301</v>
      </c>
      <c r="F56" s="39" t="s">
        <v>93</v>
      </c>
      <c r="G56" s="46">
        <v>24</v>
      </c>
      <c r="H56" s="64">
        <v>95</v>
      </c>
      <c r="I56" s="64">
        <v>2279</v>
      </c>
      <c r="J56" s="64">
        <v>1.98</v>
      </c>
      <c r="K56" s="64">
        <v>47.5</v>
      </c>
      <c r="L56" s="38"/>
    </row>
    <row r="57" s="4" customFormat="1" ht="24.95" customHeight="1" spans="1:12">
      <c r="A57" s="20">
        <v>51</v>
      </c>
      <c r="B57" s="38" t="s">
        <v>146</v>
      </c>
      <c r="C57" s="39" t="s">
        <v>149</v>
      </c>
      <c r="D57" s="39" t="s">
        <v>104</v>
      </c>
      <c r="E57" s="40">
        <v>6400</v>
      </c>
      <c r="F57" s="39" t="s">
        <v>93</v>
      </c>
      <c r="G57" s="46">
        <v>10</v>
      </c>
      <c r="H57" s="64">
        <v>325.2</v>
      </c>
      <c r="I57" s="64">
        <v>3251.9</v>
      </c>
      <c r="J57" s="64">
        <v>9.29</v>
      </c>
      <c r="K57" s="64">
        <v>92.9</v>
      </c>
      <c r="L57" s="38"/>
    </row>
    <row r="58" s="4" customFormat="1" ht="24.95" customHeight="1" spans="1:12">
      <c r="A58" s="20">
        <v>52</v>
      </c>
      <c r="B58" s="38" t="s">
        <v>146</v>
      </c>
      <c r="C58" s="39" t="s">
        <v>150</v>
      </c>
      <c r="D58" s="39" t="s">
        <v>104</v>
      </c>
      <c r="E58" s="40">
        <v>6400</v>
      </c>
      <c r="F58" s="39" t="s">
        <v>93</v>
      </c>
      <c r="G58" s="46">
        <v>10</v>
      </c>
      <c r="H58" s="64">
        <v>325.2</v>
      </c>
      <c r="I58" s="64">
        <v>3251.9</v>
      </c>
      <c r="J58" s="64">
        <v>9.29</v>
      </c>
      <c r="K58" s="64">
        <v>92.9</v>
      </c>
      <c r="L58" s="38"/>
    </row>
    <row r="59" s="4" customFormat="1" ht="24.95" customHeight="1" spans="1:12">
      <c r="A59" s="20">
        <v>53</v>
      </c>
      <c r="B59" s="38" t="s">
        <v>146</v>
      </c>
      <c r="C59" s="39" t="s">
        <v>151</v>
      </c>
      <c r="D59" s="39" t="s">
        <v>104</v>
      </c>
      <c r="E59" s="40">
        <v>6400</v>
      </c>
      <c r="F59" s="39" t="s">
        <v>93</v>
      </c>
      <c r="G59" s="46">
        <v>2</v>
      </c>
      <c r="H59" s="64">
        <v>325.2</v>
      </c>
      <c r="I59" s="64">
        <v>650.4</v>
      </c>
      <c r="J59" s="64">
        <v>9.29</v>
      </c>
      <c r="K59" s="64">
        <v>18.58</v>
      </c>
      <c r="L59" s="38"/>
    </row>
    <row r="60" s="4" customFormat="1" ht="24.95" customHeight="1" spans="1:12">
      <c r="A60" s="20">
        <v>54</v>
      </c>
      <c r="B60" s="38" t="s">
        <v>146</v>
      </c>
      <c r="C60" s="39" t="s">
        <v>152</v>
      </c>
      <c r="D60" s="39" t="s">
        <v>104</v>
      </c>
      <c r="E60" s="40">
        <v>6400</v>
      </c>
      <c r="F60" s="39" t="s">
        <v>93</v>
      </c>
      <c r="G60" s="46">
        <v>2</v>
      </c>
      <c r="H60" s="64">
        <v>325.2</v>
      </c>
      <c r="I60" s="64">
        <v>650.4</v>
      </c>
      <c r="J60" s="64">
        <v>9.29</v>
      </c>
      <c r="K60" s="64">
        <v>18.58</v>
      </c>
      <c r="L60" s="38"/>
    </row>
    <row r="61" s="4" customFormat="1" ht="24.95" customHeight="1" spans="1:12">
      <c r="A61" s="20">
        <v>55</v>
      </c>
      <c r="B61" s="38" t="s">
        <v>146</v>
      </c>
      <c r="C61" s="39" t="s">
        <v>153</v>
      </c>
      <c r="D61" s="39" t="s">
        <v>104</v>
      </c>
      <c r="E61" s="40">
        <v>6400</v>
      </c>
      <c r="F61" s="39" t="s">
        <v>93</v>
      </c>
      <c r="G61" s="46">
        <v>2</v>
      </c>
      <c r="H61" s="64">
        <v>317</v>
      </c>
      <c r="I61" s="64">
        <v>634.1</v>
      </c>
      <c r="J61" s="64">
        <v>9</v>
      </c>
      <c r="K61" s="64">
        <v>18</v>
      </c>
      <c r="L61" s="38"/>
    </row>
    <row r="62" s="4" customFormat="1" ht="24.95" customHeight="1" spans="1:12">
      <c r="A62" s="20">
        <v>56</v>
      </c>
      <c r="B62" s="38" t="s">
        <v>146</v>
      </c>
      <c r="C62" s="39" t="s">
        <v>154</v>
      </c>
      <c r="D62" s="39" t="s">
        <v>104</v>
      </c>
      <c r="E62" s="40">
        <v>6400</v>
      </c>
      <c r="F62" s="39" t="s">
        <v>93</v>
      </c>
      <c r="G62" s="46">
        <v>2</v>
      </c>
      <c r="H62" s="64">
        <v>317</v>
      </c>
      <c r="I62" s="64">
        <v>634.1</v>
      </c>
      <c r="J62" s="64">
        <v>9</v>
      </c>
      <c r="K62" s="64">
        <v>18</v>
      </c>
      <c r="L62" s="38"/>
    </row>
    <row r="63" s="4" customFormat="1" ht="24.95" customHeight="1" spans="1:12">
      <c r="A63" s="20">
        <v>57</v>
      </c>
      <c r="B63" s="38" t="s">
        <v>146</v>
      </c>
      <c r="C63" s="39" t="s">
        <v>155</v>
      </c>
      <c r="D63" s="39" t="s">
        <v>104</v>
      </c>
      <c r="E63" s="40">
        <v>2847</v>
      </c>
      <c r="F63" s="39" t="s">
        <v>93</v>
      </c>
      <c r="G63" s="46">
        <v>1</v>
      </c>
      <c r="H63" s="64">
        <v>141.4</v>
      </c>
      <c r="I63" s="64">
        <v>141.4</v>
      </c>
      <c r="J63" s="64">
        <v>4.03</v>
      </c>
      <c r="K63" s="64">
        <v>4.03</v>
      </c>
      <c r="L63" s="38"/>
    </row>
    <row r="64" s="4" customFormat="1" ht="24.95" customHeight="1" spans="1:12">
      <c r="A64" s="20">
        <v>58</v>
      </c>
      <c r="B64" s="38" t="s">
        <v>146</v>
      </c>
      <c r="C64" s="39" t="s">
        <v>156</v>
      </c>
      <c r="D64" s="39" t="s">
        <v>104</v>
      </c>
      <c r="E64" s="40">
        <v>2847</v>
      </c>
      <c r="F64" s="39" t="s">
        <v>93</v>
      </c>
      <c r="G64" s="46">
        <v>1</v>
      </c>
      <c r="H64" s="64">
        <v>141.4</v>
      </c>
      <c r="I64" s="64">
        <v>141.4</v>
      </c>
      <c r="J64" s="64">
        <v>4.03</v>
      </c>
      <c r="K64" s="64">
        <v>4.03</v>
      </c>
      <c r="L64" s="38"/>
    </row>
    <row r="65" s="4" customFormat="1" ht="24.95" customHeight="1" spans="1:12">
      <c r="A65" s="20">
        <v>59</v>
      </c>
      <c r="B65" s="38" t="s">
        <v>146</v>
      </c>
      <c r="C65" s="39" t="s">
        <v>157</v>
      </c>
      <c r="D65" s="39" t="s">
        <v>104</v>
      </c>
      <c r="E65" s="40">
        <v>6196</v>
      </c>
      <c r="F65" s="39" t="s">
        <v>93</v>
      </c>
      <c r="G65" s="46">
        <v>1</v>
      </c>
      <c r="H65" s="64">
        <v>305.5</v>
      </c>
      <c r="I65" s="64">
        <v>305.5</v>
      </c>
      <c r="J65" s="64">
        <v>8.67</v>
      </c>
      <c r="K65" s="64">
        <v>8.67</v>
      </c>
      <c r="L65" s="38"/>
    </row>
    <row r="66" s="4" customFormat="1" ht="24.95" customHeight="1" spans="1:12">
      <c r="A66" s="20">
        <v>60</v>
      </c>
      <c r="B66" s="38" t="s">
        <v>146</v>
      </c>
      <c r="C66" s="39" t="s">
        <v>158</v>
      </c>
      <c r="D66" s="39" t="s">
        <v>104</v>
      </c>
      <c r="E66" s="40">
        <v>6196</v>
      </c>
      <c r="F66" s="39" t="s">
        <v>93</v>
      </c>
      <c r="G66" s="46">
        <v>1</v>
      </c>
      <c r="H66" s="64">
        <v>305.5</v>
      </c>
      <c r="I66" s="64">
        <v>305.5</v>
      </c>
      <c r="J66" s="64">
        <v>8.67</v>
      </c>
      <c r="K66" s="64">
        <v>8.67</v>
      </c>
      <c r="L66" s="38"/>
    </row>
    <row r="67" s="4" customFormat="1" ht="24.95" customHeight="1" spans="1:12">
      <c r="A67" s="20">
        <v>61</v>
      </c>
      <c r="B67" s="38" t="s">
        <v>146</v>
      </c>
      <c r="C67" s="39" t="s">
        <v>159</v>
      </c>
      <c r="D67" s="39" t="s">
        <v>104</v>
      </c>
      <c r="E67" s="40">
        <v>6196</v>
      </c>
      <c r="F67" s="39" t="s">
        <v>93</v>
      </c>
      <c r="G67" s="46">
        <v>4</v>
      </c>
      <c r="H67" s="64">
        <v>305.5</v>
      </c>
      <c r="I67" s="64">
        <v>1221.8</v>
      </c>
      <c r="J67" s="64">
        <v>8.67</v>
      </c>
      <c r="K67" s="64">
        <v>34.67</v>
      </c>
      <c r="L67" s="38"/>
    </row>
    <row r="68" s="4" customFormat="1" ht="24.95" customHeight="1" spans="1:12">
      <c r="A68" s="20">
        <v>62</v>
      </c>
      <c r="B68" s="38" t="s">
        <v>146</v>
      </c>
      <c r="C68" s="39" t="s">
        <v>160</v>
      </c>
      <c r="D68" s="39" t="s">
        <v>104</v>
      </c>
      <c r="E68" s="40">
        <v>2847</v>
      </c>
      <c r="F68" s="39" t="s">
        <v>93</v>
      </c>
      <c r="G68" s="46">
        <v>4</v>
      </c>
      <c r="H68" s="64">
        <v>141.2</v>
      </c>
      <c r="I68" s="64">
        <v>564.7</v>
      </c>
      <c r="J68" s="64">
        <v>4.02</v>
      </c>
      <c r="K68" s="64">
        <v>16.1</v>
      </c>
      <c r="L68" s="38"/>
    </row>
    <row r="69" s="4" customFormat="1" ht="24.95" customHeight="1" spans="1:12">
      <c r="A69" s="20">
        <v>63</v>
      </c>
      <c r="B69" s="38" t="s">
        <v>146</v>
      </c>
      <c r="C69" s="39" t="s">
        <v>161</v>
      </c>
      <c r="D69" s="39" t="s">
        <v>104</v>
      </c>
      <c r="E69" s="40">
        <v>2837</v>
      </c>
      <c r="F69" s="39" t="s">
        <v>93</v>
      </c>
      <c r="G69" s="46">
        <v>1</v>
      </c>
      <c r="H69" s="64">
        <v>139.5</v>
      </c>
      <c r="I69" s="64">
        <v>139.5</v>
      </c>
      <c r="J69" s="64">
        <v>3.97</v>
      </c>
      <c r="K69" s="64">
        <v>3.97</v>
      </c>
      <c r="L69" s="38"/>
    </row>
    <row r="70" s="4" customFormat="1" ht="24.95" customHeight="1" spans="1:12">
      <c r="A70" s="20">
        <v>64</v>
      </c>
      <c r="B70" s="38" t="s">
        <v>146</v>
      </c>
      <c r="C70" s="39" t="s">
        <v>162</v>
      </c>
      <c r="D70" s="39" t="s">
        <v>117</v>
      </c>
      <c r="E70" s="40">
        <v>8998</v>
      </c>
      <c r="F70" s="39" t="s">
        <v>93</v>
      </c>
      <c r="G70" s="46">
        <v>15</v>
      </c>
      <c r="H70" s="64">
        <v>1103.2</v>
      </c>
      <c r="I70" s="64">
        <v>16548</v>
      </c>
      <c r="J70" s="64">
        <v>19.55</v>
      </c>
      <c r="K70" s="64">
        <v>293.28</v>
      </c>
      <c r="L70" s="38"/>
    </row>
    <row r="71" s="4" customFormat="1" ht="24.95" customHeight="1" spans="1:12">
      <c r="A71" s="20">
        <v>65</v>
      </c>
      <c r="B71" s="38" t="s">
        <v>146</v>
      </c>
      <c r="C71" s="39" t="s">
        <v>163</v>
      </c>
      <c r="D71" s="39" t="s">
        <v>117</v>
      </c>
      <c r="E71" s="40">
        <v>6196</v>
      </c>
      <c r="F71" s="39" t="s">
        <v>93</v>
      </c>
      <c r="G71" s="46">
        <v>16</v>
      </c>
      <c r="H71" s="64">
        <v>765.1</v>
      </c>
      <c r="I71" s="64">
        <v>12241.2</v>
      </c>
      <c r="J71" s="64">
        <v>13.62</v>
      </c>
      <c r="K71" s="64">
        <v>217.88</v>
      </c>
      <c r="L71" s="38"/>
    </row>
    <row r="72" s="4" customFormat="1" ht="24.95" customHeight="1" spans="1:12">
      <c r="A72" s="20">
        <v>66</v>
      </c>
      <c r="B72" s="38" t="s">
        <v>146</v>
      </c>
      <c r="C72" s="39" t="s">
        <v>164</v>
      </c>
      <c r="D72" s="39" t="s">
        <v>117</v>
      </c>
      <c r="E72" s="40">
        <v>2887</v>
      </c>
      <c r="F72" s="39" t="s">
        <v>93</v>
      </c>
      <c r="G72" s="46">
        <v>1</v>
      </c>
      <c r="H72" s="64">
        <v>355.6</v>
      </c>
      <c r="I72" s="64">
        <v>355.6</v>
      </c>
      <c r="J72" s="64">
        <v>6.37</v>
      </c>
      <c r="K72" s="64">
        <v>6.37</v>
      </c>
      <c r="L72" s="38"/>
    </row>
    <row r="73" s="4" customFormat="1" ht="24.95" customHeight="1" spans="1:12">
      <c r="A73" s="20">
        <v>67</v>
      </c>
      <c r="B73" s="38" t="s">
        <v>146</v>
      </c>
      <c r="C73" s="39" t="s">
        <v>165</v>
      </c>
      <c r="D73" s="39" t="s">
        <v>92</v>
      </c>
      <c r="E73" s="40">
        <v>2797</v>
      </c>
      <c r="F73" s="39" t="s">
        <v>93</v>
      </c>
      <c r="G73" s="46">
        <v>1</v>
      </c>
      <c r="H73" s="64">
        <v>467.2</v>
      </c>
      <c r="I73" s="64">
        <v>467.2</v>
      </c>
      <c r="J73" s="64">
        <v>7.44</v>
      </c>
      <c r="K73" s="64">
        <v>7.44</v>
      </c>
      <c r="L73" s="38"/>
    </row>
    <row r="74" s="4" customFormat="1" ht="24.95" customHeight="1" spans="1:12">
      <c r="A74" s="20">
        <v>68</v>
      </c>
      <c r="B74" s="38" t="s">
        <v>146</v>
      </c>
      <c r="C74" s="39" t="s">
        <v>166</v>
      </c>
      <c r="D74" s="39" t="s">
        <v>117</v>
      </c>
      <c r="E74" s="40">
        <v>8998</v>
      </c>
      <c r="F74" s="39" t="s">
        <v>93</v>
      </c>
      <c r="G74" s="46">
        <v>1</v>
      </c>
      <c r="H74" s="64">
        <v>1103.2</v>
      </c>
      <c r="I74" s="64">
        <v>1103.2</v>
      </c>
      <c r="J74" s="64">
        <v>19.55</v>
      </c>
      <c r="K74" s="64">
        <v>19.55</v>
      </c>
      <c r="L74" s="38"/>
    </row>
    <row r="75" s="4" customFormat="1" ht="24.95" customHeight="1" spans="1:12">
      <c r="A75" s="20">
        <v>69</v>
      </c>
      <c r="B75" s="38" t="s">
        <v>146</v>
      </c>
      <c r="C75" s="39" t="s">
        <v>167</v>
      </c>
      <c r="D75" s="39" t="s">
        <v>117</v>
      </c>
      <c r="E75" s="40">
        <v>2391</v>
      </c>
      <c r="F75" s="39" t="s">
        <v>93</v>
      </c>
      <c r="G75" s="46">
        <v>1</v>
      </c>
      <c r="H75" s="64">
        <v>276.3</v>
      </c>
      <c r="I75" s="64">
        <v>276.3</v>
      </c>
      <c r="J75" s="64">
        <v>4.9</v>
      </c>
      <c r="K75" s="64">
        <v>4.9</v>
      </c>
      <c r="L75" s="38"/>
    </row>
    <row r="76" s="4" customFormat="1" ht="24.95" customHeight="1" spans="1:12">
      <c r="A76" s="20">
        <v>70</v>
      </c>
      <c r="B76" s="38" t="s">
        <v>146</v>
      </c>
      <c r="C76" s="39" t="s">
        <v>168</v>
      </c>
      <c r="D76" s="39" t="s">
        <v>117</v>
      </c>
      <c r="E76" s="40">
        <v>8998</v>
      </c>
      <c r="F76" s="39" t="s">
        <v>93</v>
      </c>
      <c r="G76" s="46">
        <v>2</v>
      </c>
      <c r="H76" s="64">
        <v>1088.1</v>
      </c>
      <c r="I76" s="64">
        <v>2176.2</v>
      </c>
      <c r="J76" s="64">
        <v>19.16</v>
      </c>
      <c r="K76" s="64">
        <v>38.32</v>
      </c>
      <c r="L76" s="38"/>
    </row>
    <row r="77" s="4" customFormat="1" ht="24.95" customHeight="1" spans="1:12">
      <c r="A77" s="20">
        <v>71</v>
      </c>
      <c r="B77" s="38" t="s">
        <v>146</v>
      </c>
      <c r="C77" s="39" t="s">
        <v>169</v>
      </c>
      <c r="D77" s="39" t="s">
        <v>117</v>
      </c>
      <c r="E77" s="40">
        <v>8998</v>
      </c>
      <c r="F77" s="39" t="s">
        <v>93</v>
      </c>
      <c r="G77" s="46">
        <v>1</v>
      </c>
      <c r="H77" s="64">
        <v>1088.1</v>
      </c>
      <c r="I77" s="64">
        <v>1088.1</v>
      </c>
      <c r="J77" s="64">
        <v>19.16</v>
      </c>
      <c r="K77" s="64">
        <v>19.16</v>
      </c>
      <c r="L77" s="38"/>
    </row>
    <row r="78" s="4" customFormat="1" ht="24.95" customHeight="1" spans="1:12">
      <c r="A78" s="20">
        <v>72</v>
      </c>
      <c r="B78" s="38" t="s">
        <v>146</v>
      </c>
      <c r="C78" s="39" t="s">
        <v>170</v>
      </c>
      <c r="D78" s="39" t="s">
        <v>117</v>
      </c>
      <c r="E78" s="40">
        <v>6196</v>
      </c>
      <c r="F78" s="39" t="s">
        <v>93</v>
      </c>
      <c r="G78" s="46">
        <v>1</v>
      </c>
      <c r="H78" s="64">
        <v>753.1</v>
      </c>
      <c r="I78" s="64">
        <v>753.1</v>
      </c>
      <c r="J78" s="64">
        <v>13.31</v>
      </c>
      <c r="K78" s="64">
        <v>13.31</v>
      </c>
      <c r="L78" s="38"/>
    </row>
    <row r="79" s="4" customFormat="1" ht="24.95" customHeight="1" spans="1:12">
      <c r="A79" s="20">
        <v>73</v>
      </c>
      <c r="B79" s="38" t="s">
        <v>146</v>
      </c>
      <c r="C79" s="39" t="s">
        <v>171</v>
      </c>
      <c r="D79" s="39" t="s">
        <v>117</v>
      </c>
      <c r="E79" s="40">
        <v>6196</v>
      </c>
      <c r="F79" s="39" t="s">
        <v>93</v>
      </c>
      <c r="G79" s="46">
        <v>1</v>
      </c>
      <c r="H79" s="64">
        <v>753.1</v>
      </c>
      <c r="I79" s="64">
        <v>753.1</v>
      </c>
      <c r="J79" s="64">
        <v>13.31</v>
      </c>
      <c r="K79" s="64">
        <v>13.31</v>
      </c>
      <c r="L79" s="38"/>
    </row>
    <row r="80" s="4" customFormat="1" ht="24.95" customHeight="1" spans="1:12">
      <c r="A80" s="20">
        <v>74</v>
      </c>
      <c r="B80" s="38" t="s">
        <v>146</v>
      </c>
      <c r="C80" s="39" t="s">
        <v>172</v>
      </c>
      <c r="D80" s="39" t="s">
        <v>117</v>
      </c>
      <c r="E80" s="40">
        <v>2797</v>
      </c>
      <c r="F80" s="39" t="s">
        <v>93</v>
      </c>
      <c r="G80" s="46">
        <v>1</v>
      </c>
      <c r="H80" s="64">
        <v>337.9</v>
      </c>
      <c r="I80" s="64">
        <v>337.9</v>
      </c>
      <c r="J80" s="64">
        <v>5.98</v>
      </c>
      <c r="K80" s="64">
        <v>5.98</v>
      </c>
      <c r="L80" s="38"/>
    </row>
    <row r="81" s="4" customFormat="1" ht="24.95" customHeight="1" spans="1:12">
      <c r="A81" s="20">
        <v>75</v>
      </c>
      <c r="B81" s="38" t="s">
        <v>146</v>
      </c>
      <c r="C81" s="39" t="s">
        <v>173</v>
      </c>
      <c r="D81" s="39" t="s">
        <v>117</v>
      </c>
      <c r="E81" s="40">
        <v>2797</v>
      </c>
      <c r="F81" s="39" t="s">
        <v>93</v>
      </c>
      <c r="G81" s="46">
        <v>1</v>
      </c>
      <c r="H81" s="64">
        <v>337.9</v>
      </c>
      <c r="I81" s="64">
        <v>337.9</v>
      </c>
      <c r="J81" s="64">
        <v>5.98</v>
      </c>
      <c r="K81" s="64">
        <v>5.98</v>
      </c>
      <c r="L81" s="38"/>
    </row>
    <row r="82" s="4" customFormat="1" ht="24.95" customHeight="1" spans="1:12">
      <c r="A82" s="20">
        <v>76</v>
      </c>
      <c r="B82" s="38" t="s">
        <v>146</v>
      </c>
      <c r="C82" s="39" t="s">
        <v>174</v>
      </c>
      <c r="D82" s="39" t="s">
        <v>117</v>
      </c>
      <c r="E82" s="40">
        <v>2797</v>
      </c>
      <c r="F82" s="39" t="s">
        <v>93</v>
      </c>
      <c r="G82" s="46">
        <v>1</v>
      </c>
      <c r="H82" s="64">
        <v>334.8</v>
      </c>
      <c r="I82" s="64">
        <v>334.8</v>
      </c>
      <c r="J82" s="64">
        <v>5.9</v>
      </c>
      <c r="K82" s="64">
        <v>5.9</v>
      </c>
      <c r="L82" s="38"/>
    </row>
    <row r="83" s="4" customFormat="1" ht="24.95" customHeight="1" spans="1:12">
      <c r="A83" s="20">
        <v>77</v>
      </c>
      <c r="B83" s="38" t="s">
        <v>146</v>
      </c>
      <c r="C83" s="39" t="s">
        <v>175</v>
      </c>
      <c r="D83" s="39" t="s">
        <v>117</v>
      </c>
      <c r="E83" s="40">
        <v>2797</v>
      </c>
      <c r="F83" s="39" t="s">
        <v>93</v>
      </c>
      <c r="G83" s="46">
        <v>1</v>
      </c>
      <c r="H83" s="64">
        <v>334.8</v>
      </c>
      <c r="I83" s="64">
        <v>334.8</v>
      </c>
      <c r="J83" s="64">
        <v>5.9</v>
      </c>
      <c r="K83" s="64">
        <v>5.9</v>
      </c>
      <c r="L83" s="38"/>
    </row>
    <row r="84" s="4" customFormat="1" ht="24.95" customHeight="1" spans="1:12">
      <c r="A84" s="20">
        <v>78</v>
      </c>
      <c r="B84" s="38" t="s">
        <v>146</v>
      </c>
      <c r="C84" s="39" t="s">
        <v>176</v>
      </c>
      <c r="D84" s="39" t="s">
        <v>117</v>
      </c>
      <c r="E84" s="40">
        <v>2887</v>
      </c>
      <c r="F84" s="39" t="s">
        <v>93</v>
      </c>
      <c r="G84" s="46">
        <v>1</v>
      </c>
      <c r="H84" s="64">
        <v>355.6</v>
      </c>
      <c r="I84" s="64">
        <v>355.6</v>
      </c>
      <c r="J84" s="64">
        <v>6.37</v>
      </c>
      <c r="K84" s="64">
        <v>6.37</v>
      </c>
      <c r="L84" s="38"/>
    </row>
    <row r="85" s="4" customFormat="1" ht="24.95" customHeight="1" spans="1:12">
      <c r="A85" s="20">
        <v>79</v>
      </c>
      <c r="B85" s="38" t="s">
        <v>146</v>
      </c>
      <c r="C85" s="39" t="s">
        <v>177</v>
      </c>
      <c r="D85" s="39" t="s">
        <v>92</v>
      </c>
      <c r="E85" s="40">
        <v>8998</v>
      </c>
      <c r="F85" s="39" t="s">
        <v>93</v>
      </c>
      <c r="G85" s="46">
        <v>2</v>
      </c>
      <c r="H85" s="64">
        <v>1525.2</v>
      </c>
      <c r="I85" s="64">
        <v>3050.3</v>
      </c>
      <c r="J85" s="64">
        <v>24.14</v>
      </c>
      <c r="K85" s="64">
        <v>48.27</v>
      </c>
      <c r="L85" s="38"/>
    </row>
    <row r="86" s="4" customFormat="1" ht="24.95" customHeight="1" spans="1:12">
      <c r="A86" s="20">
        <v>80</v>
      </c>
      <c r="B86" s="38" t="s">
        <v>146</v>
      </c>
      <c r="C86" s="39" t="s">
        <v>178</v>
      </c>
      <c r="D86" s="39" t="s">
        <v>92</v>
      </c>
      <c r="E86" s="40">
        <v>8998</v>
      </c>
      <c r="F86" s="39" t="s">
        <v>93</v>
      </c>
      <c r="G86" s="46">
        <v>1</v>
      </c>
      <c r="H86" s="64">
        <v>1525.2</v>
      </c>
      <c r="I86" s="64">
        <v>1525.2</v>
      </c>
      <c r="J86" s="64">
        <v>24.14</v>
      </c>
      <c r="K86" s="64">
        <v>24.14</v>
      </c>
      <c r="L86" s="38"/>
    </row>
    <row r="87" s="4" customFormat="1" ht="24.95" customHeight="1" spans="1:12">
      <c r="A87" s="20">
        <v>81</v>
      </c>
      <c r="B87" s="38" t="s">
        <v>146</v>
      </c>
      <c r="C87" s="39" t="s">
        <v>179</v>
      </c>
      <c r="D87" s="39" t="s">
        <v>92</v>
      </c>
      <c r="E87" s="40">
        <v>6416</v>
      </c>
      <c r="F87" s="39" t="s">
        <v>93</v>
      </c>
      <c r="G87" s="46">
        <v>1</v>
      </c>
      <c r="H87" s="64">
        <v>1058.2</v>
      </c>
      <c r="I87" s="64">
        <v>1058.2</v>
      </c>
      <c r="J87" s="64">
        <v>16.94</v>
      </c>
      <c r="K87" s="64">
        <v>16.94</v>
      </c>
      <c r="L87" s="38"/>
    </row>
    <row r="88" s="4" customFormat="1" ht="24.95" customHeight="1" spans="1:12">
      <c r="A88" s="20">
        <v>82</v>
      </c>
      <c r="B88" s="38" t="s">
        <v>146</v>
      </c>
      <c r="C88" s="39" t="s">
        <v>180</v>
      </c>
      <c r="D88" s="39" t="s">
        <v>92</v>
      </c>
      <c r="E88" s="40">
        <v>6416</v>
      </c>
      <c r="F88" s="39" t="s">
        <v>93</v>
      </c>
      <c r="G88" s="46">
        <v>1</v>
      </c>
      <c r="H88" s="64">
        <v>1058.2</v>
      </c>
      <c r="I88" s="64">
        <v>1058.2</v>
      </c>
      <c r="J88" s="64">
        <v>16.94</v>
      </c>
      <c r="K88" s="64">
        <v>16.94</v>
      </c>
      <c r="L88" s="38"/>
    </row>
    <row r="89" s="4" customFormat="1" ht="24.95" customHeight="1" spans="1:12">
      <c r="A89" s="20">
        <v>83</v>
      </c>
      <c r="B89" s="38" t="s">
        <v>146</v>
      </c>
      <c r="C89" s="39" t="s">
        <v>181</v>
      </c>
      <c r="D89" s="39" t="s">
        <v>92</v>
      </c>
      <c r="E89" s="40">
        <v>2797</v>
      </c>
      <c r="F89" s="39" t="s">
        <v>93</v>
      </c>
      <c r="G89" s="46">
        <v>1</v>
      </c>
      <c r="H89" s="64">
        <v>470.3</v>
      </c>
      <c r="I89" s="64">
        <v>470.3</v>
      </c>
      <c r="J89" s="64">
        <v>7.52</v>
      </c>
      <c r="K89" s="64">
        <v>7.52</v>
      </c>
      <c r="L89" s="38"/>
    </row>
    <row r="90" s="4" customFormat="1" ht="24.95" customHeight="1" spans="1:12">
      <c r="A90" s="20">
        <v>84</v>
      </c>
      <c r="B90" s="38" t="s">
        <v>146</v>
      </c>
      <c r="C90" s="39" t="s">
        <v>182</v>
      </c>
      <c r="D90" s="39" t="s">
        <v>92</v>
      </c>
      <c r="E90" s="40">
        <v>2797</v>
      </c>
      <c r="F90" s="39" t="s">
        <v>93</v>
      </c>
      <c r="G90" s="46">
        <v>1</v>
      </c>
      <c r="H90" s="64">
        <v>470.3</v>
      </c>
      <c r="I90" s="64">
        <v>470.3</v>
      </c>
      <c r="J90" s="64">
        <v>7.52</v>
      </c>
      <c r="K90" s="64">
        <v>7.52</v>
      </c>
      <c r="L90" s="38"/>
    </row>
    <row r="91" s="4" customFormat="1" ht="24.95" customHeight="1" spans="1:12">
      <c r="A91" s="20">
        <v>85</v>
      </c>
      <c r="B91" s="38" t="s">
        <v>146</v>
      </c>
      <c r="C91" s="39" t="s">
        <v>183</v>
      </c>
      <c r="D91" s="39" t="s">
        <v>92</v>
      </c>
      <c r="E91" s="40">
        <v>2887</v>
      </c>
      <c r="F91" s="39" t="s">
        <v>93</v>
      </c>
      <c r="G91" s="46">
        <v>1</v>
      </c>
      <c r="H91" s="64">
        <v>497.5</v>
      </c>
      <c r="I91" s="64">
        <v>497.5</v>
      </c>
      <c r="J91" s="64">
        <v>8.09</v>
      </c>
      <c r="K91" s="64">
        <v>8.09</v>
      </c>
      <c r="L91" s="38"/>
    </row>
    <row r="92" s="4" customFormat="1" ht="24.95" customHeight="1" spans="1:12">
      <c r="A92" s="20">
        <v>86</v>
      </c>
      <c r="B92" s="38" t="s">
        <v>146</v>
      </c>
      <c r="C92" s="39" t="s">
        <v>184</v>
      </c>
      <c r="D92" s="39" t="s">
        <v>92</v>
      </c>
      <c r="E92" s="40">
        <v>2887</v>
      </c>
      <c r="F92" s="39" t="s">
        <v>93</v>
      </c>
      <c r="G92" s="46">
        <v>1</v>
      </c>
      <c r="H92" s="64">
        <v>497.5</v>
      </c>
      <c r="I92" s="64">
        <v>497.5</v>
      </c>
      <c r="J92" s="64">
        <v>8.09</v>
      </c>
      <c r="K92" s="64">
        <v>8.09</v>
      </c>
      <c r="L92" s="38"/>
    </row>
    <row r="93" s="4" customFormat="1" ht="24.95" customHeight="1" spans="1:12">
      <c r="A93" s="20">
        <v>87</v>
      </c>
      <c r="B93" s="38" t="s">
        <v>146</v>
      </c>
      <c r="C93" s="39" t="s">
        <v>185</v>
      </c>
      <c r="D93" s="39" t="s">
        <v>92</v>
      </c>
      <c r="E93" s="40">
        <v>2797</v>
      </c>
      <c r="F93" s="39" t="s">
        <v>93</v>
      </c>
      <c r="G93" s="46">
        <v>1</v>
      </c>
      <c r="H93" s="64">
        <v>467.2</v>
      </c>
      <c r="I93" s="64">
        <v>467.2</v>
      </c>
      <c r="J93" s="64">
        <v>7.44</v>
      </c>
      <c r="K93" s="64">
        <v>7.44</v>
      </c>
      <c r="L93" s="38"/>
    </row>
    <row r="94" s="4" customFormat="1" ht="24.95" customHeight="1" spans="1:12">
      <c r="A94" s="20">
        <v>88</v>
      </c>
      <c r="B94" s="38" t="s">
        <v>146</v>
      </c>
      <c r="C94" s="39" t="s">
        <v>186</v>
      </c>
      <c r="D94" s="39" t="s">
        <v>117</v>
      </c>
      <c r="E94" s="40">
        <v>4991</v>
      </c>
      <c r="F94" s="39" t="s">
        <v>93</v>
      </c>
      <c r="G94" s="46">
        <v>1</v>
      </c>
      <c r="H94" s="64">
        <v>625.3</v>
      </c>
      <c r="I94" s="64">
        <v>625.3</v>
      </c>
      <c r="J94" s="64">
        <v>11.08</v>
      </c>
      <c r="K94" s="64">
        <v>11.08</v>
      </c>
      <c r="L94" s="38"/>
    </row>
    <row r="95" s="4" customFormat="1" ht="24.95" customHeight="1" spans="1:12">
      <c r="A95" s="20">
        <v>89</v>
      </c>
      <c r="B95" s="38" t="s">
        <v>146</v>
      </c>
      <c r="C95" s="39" t="s">
        <v>187</v>
      </c>
      <c r="D95" s="39" t="s">
        <v>117</v>
      </c>
      <c r="E95" s="40">
        <v>4991</v>
      </c>
      <c r="F95" s="39" t="s">
        <v>93</v>
      </c>
      <c r="G95" s="46">
        <v>1</v>
      </c>
      <c r="H95" s="64">
        <v>625.3</v>
      </c>
      <c r="I95" s="64">
        <v>625.3</v>
      </c>
      <c r="J95" s="64">
        <v>11.08</v>
      </c>
      <c r="K95" s="64">
        <v>11.08</v>
      </c>
      <c r="L95" s="38"/>
    </row>
    <row r="96" s="4" customFormat="1" ht="24.95" customHeight="1" spans="1:12">
      <c r="A96" s="20">
        <v>90</v>
      </c>
      <c r="B96" s="38" t="s">
        <v>146</v>
      </c>
      <c r="C96" s="39" t="s">
        <v>188</v>
      </c>
      <c r="D96" s="39" t="s">
        <v>117</v>
      </c>
      <c r="E96" s="40">
        <v>4991</v>
      </c>
      <c r="F96" s="39" t="s">
        <v>93</v>
      </c>
      <c r="G96" s="46">
        <v>14</v>
      </c>
      <c r="H96" s="64">
        <v>571.5</v>
      </c>
      <c r="I96" s="64">
        <v>8001.5</v>
      </c>
      <c r="J96" s="64">
        <v>9.91</v>
      </c>
      <c r="K96" s="64">
        <v>138.74</v>
      </c>
      <c r="L96" s="38"/>
    </row>
    <row r="97" s="4" customFormat="1" ht="24.95" customHeight="1" spans="1:12">
      <c r="A97" s="20">
        <v>91</v>
      </c>
      <c r="B97" s="38" t="s">
        <v>146</v>
      </c>
      <c r="C97" s="39" t="s">
        <v>189</v>
      </c>
      <c r="D97" s="39" t="s">
        <v>117</v>
      </c>
      <c r="E97" s="40">
        <v>4758</v>
      </c>
      <c r="F97" s="39" t="s">
        <v>93</v>
      </c>
      <c r="G97" s="46">
        <v>1</v>
      </c>
      <c r="H97" s="64">
        <v>544.6</v>
      </c>
      <c r="I97" s="64">
        <v>544.6</v>
      </c>
      <c r="J97" s="64">
        <v>9.45</v>
      </c>
      <c r="K97" s="64">
        <v>9.45</v>
      </c>
      <c r="L97" s="38"/>
    </row>
    <row r="98" s="4" customFormat="1" ht="24.95" customHeight="1" spans="1:12">
      <c r="A98" s="20">
        <v>92</v>
      </c>
      <c r="B98" s="38" t="s">
        <v>146</v>
      </c>
      <c r="C98" s="39" t="s">
        <v>190</v>
      </c>
      <c r="D98" s="39" t="s">
        <v>117</v>
      </c>
      <c r="E98" s="40">
        <v>4758</v>
      </c>
      <c r="F98" s="39" t="s">
        <v>93</v>
      </c>
      <c r="G98" s="46">
        <v>1</v>
      </c>
      <c r="H98" s="64">
        <v>544.6</v>
      </c>
      <c r="I98" s="64">
        <v>544.6</v>
      </c>
      <c r="J98" s="64">
        <v>9.45</v>
      </c>
      <c r="K98" s="64">
        <v>9.45</v>
      </c>
      <c r="L98" s="38"/>
    </row>
    <row r="99" s="4" customFormat="1" ht="24.95" customHeight="1" spans="1:12">
      <c r="A99" s="20">
        <v>93</v>
      </c>
      <c r="B99" s="38" t="s">
        <v>146</v>
      </c>
      <c r="C99" s="39" t="s">
        <v>191</v>
      </c>
      <c r="D99" s="39" t="s">
        <v>117</v>
      </c>
      <c r="E99" s="40">
        <v>4753.5</v>
      </c>
      <c r="F99" s="39" t="s">
        <v>93</v>
      </c>
      <c r="G99" s="46">
        <v>1</v>
      </c>
      <c r="H99" s="64">
        <v>544.1</v>
      </c>
      <c r="I99" s="64">
        <v>544.1</v>
      </c>
      <c r="J99" s="64">
        <v>9.44</v>
      </c>
      <c r="K99" s="64">
        <v>9.44</v>
      </c>
      <c r="L99" s="38"/>
    </row>
    <row r="100" s="4" customFormat="1" ht="24.95" customHeight="1" spans="1:12">
      <c r="A100" s="20">
        <v>94</v>
      </c>
      <c r="B100" s="38" t="s">
        <v>146</v>
      </c>
      <c r="C100" s="39" t="s">
        <v>192</v>
      </c>
      <c r="D100" s="39" t="s">
        <v>117</v>
      </c>
      <c r="E100" s="40">
        <v>4753.5</v>
      </c>
      <c r="F100" s="39" t="s">
        <v>93</v>
      </c>
      <c r="G100" s="46">
        <v>1</v>
      </c>
      <c r="H100" s="64">
        <v>544.1</v>
      </c>
      <c r="I100" s="64">
        <v>544.1</v>
      </c>
      <c r="J100" s="64">
        <v>9.44</v>
      </c>
      <c r="K100" s="64">
        <v>9.44</v>
      </c>
      <c r="L100" s="38"/>
    </row>
    <row r="101" s="4" customFormat="1" ht="24.95" customHeight="1" spans="1:12">
      <c r="A101" s="20">
        <v>95</v>
      </c>
      <c r="B101" s="38" t="s">
        <v>146</v>
      </c>
      <c r="C101" s="39" t="s">
        <v>193</v>
      </c>
      <c r="D101" s="39" t="s">
        <v>117</v>
      </c>
      <c r="E101" s="40">
        <v>4991</v>
      </c>
      <c r="F101" s="39" t="s">
        <v>93</v>
      </c>
      <c r="G101" s="46">
        <v>14</v>
      </c>
      <c r="H101" s="64">
        <v>571.5</v>
      </c>
      <c r="I101" s="64">
        <v>8001.5</v>
      </c>
      <c r="J101" s="64">
        <v>9.91</v>
      </c>
      <c r="K101" s="64">
        <v>138.74</v>
      </c>
      <c r="L101" s="38"/>
    </row>
    <row r="102" s="4" customFormat="1" ht="24.95" customHeight="1" spans="1:12">
      <c r="A102" s="20">
        <v>96</v>
      </c>
      <c r="B102" s="38" t="s">
        <v>146</v>
      </c>
      <c r="C102" s="39" t="s">
        <v>194</v>
      </c>
      <c r="D102" s="39" t="s">
        <v>117</v>
      </c>
      <c r="E102" s="40">
        <v>4991</v>
      </c>
      <c r="F102" s="39" t="s">
        <v>93</v>
      </c>
      <c r="G102" s="46">
        <v>12</v>
      </c>
      <c r="H102" s="64">
        <v>571.5</v>
      </c>
      <c r="I102" s="64">
        <v>6858.4</v>
      </c>
      <c r="J102" s="64">
        <v>9.91</v>
      </c>
      <c r="K102" s="64">
        <v>118.92</v>
      </c>
      <c r="L102" s="38"/>
    </row>
    <row r="103" s="4" customFormat="1" ht="24.95" customHeight="1" spans="1:12">
      <c r="A103" s="20">
        <v>97</v>
      </c>
      <c r="B103" s="38" t="s">
        <v>146</v>
      </c>
      <c r="C103" s="39" t="s">
        <v>195</v>
      </c>
      <c r="D103" s="39" t="s">
        <v>117</v>
      </c>
      <c r="E103" s="40">
        <v>2113.5</v>
      </c>
      <c r="F103" s="39" t="s">
        <v>93</v>
      </c>
      <c r="G103" s="46">
        <v>1</v>
      </c>
      <c r="H103" s="64">
        <v>236.1</v>
      </c>
      <c r="I103" s="64">
        <v>236.1</v>
      </c>
      <c r="J103" s="64">
        <v>4.11</v>
      </c>
      <c r="K103" s="64">
        <v>4.11</v>
      </c>
      <c r="L103" s="38"/>
    </row>
    <row r="104" s="4" customFormat="1" ht="24.95" customHeight="1" spans="1:12">
      <c r="A104" s="20">
        <v>98</v>
      </c>
      <c r="B104" s="38" t="s">
        <v>146</v>
      </c>
      <c r="C104" s="39" t="s">
        <v>196</v>
      </c>
      <c r="D104" s="39" t="s">
        <v>117</v>
      </c>
      <c r="E104" s="40">
        <v>4758</v>
      </c>
      <c r="F104" s="39" t="s">
        <v>93</v>
      </c>
      <c r="G104" s="46">
        <v>1</v>
      </c>
      <c r="H104" s="64">
        <v>544.6</v>
      </c>
      <c r="I104" s="64">
        <v>544.6</v>
      </c>
      <c r="J104" s="64">
        <v>9.45</v>
      </c>
      <c r="K104" s="64">
        <v>9.45</v>
      </c>
      <c r="L104" s="38"/>
    </row>
    <row r="105" s="4" customFormat="1" ht="24.95" customHeight="1" spans="1:12">
      <c r="A105" s="20">
        <v>99</v>
      </c>
      <c r="B105" s="38" t="s">
        <v>146</v>
      </c>
      <c r="C105" s="39" t="s">
        <v>197</v>
      </c>
      <c r="D105" s="39" t="s">
        <v>117</v>
      </c>
      <c r="E105" s="40">
        <v>4758</v>
      </c>
      <c r="F105" s="39" t="s">
        <v>93</v>
      </c>
      <c r="G105" s="46">
        <v>1</v>
      </c>
      <c r="H105" s="64">
        <v>544.6</v>
      </c>
      <c r="I105" s="64">
        <v>544.6</v>
      </c>
      <c r="J105" s="64">
        <v>9.45</v>
      </c>
      <c r="K105" s="64">
        <v>9.45</v>
      </c>
      <c r="L105" s="38"/>
    </row>
    <row r="106" s="4" customFormat="1" ht="24.95" customHeight="1" spans="1:12">
      <c r="A106" s="20">
        <v>100</v>
      </c>
      <c r="B106" s="38" t="s">
        <v>146</v>
      </c>
      <c r="C106" s="39" t="s">
        <v>198</v>
      </c>
      <c r="D106" s="39" t="s">
        <v>117</v>
      </c>
      <c r="E106" s="40">
        <v>4758</v>
      </c>
      <c r="F106" s="39" t="s">
        <v>93</v>
      </c>
      <c r="G106" s="46">
        <v>1</v>
      </c>
      <c r="H106" s="64">
        <v>544.6</v>
      </c>
      <c r="I106" s="64">
        <v>544.6</v>
      </c>
      <c r="J106" s="64">
        <v>9.45</v>
      </c>
      <c r="K106" s="64">
        <v>9.45</v>
      </c>
      <c r="L106" s="38"/>
    </row>
    <row r="107" s="4" customFormat="1" ht="24.95" customHeight="1" spans="1:12">
      <c r="A107" s="20">
        <v>101</v>
      </c>
      <c r="B107" s="38" t="s">
        <v>146</v>
      </c>
      <c r="C107" s="39" t="s">
        <v>199</v>
      </c>
      <c r="D107" s="39" t="s">
        <v>117</v>
      </c>
      <c r="E107" s="40">
        <v>1301</v>
      </c>
      <c r="F107" s="39" t="s">
        <v>93</v>
      </c>
      <c r="G107" s="46">
        <v>4</v>
      </c>
      <c r="H107" s="64">
        <v>150.7</v>
      </c>
      <c r="I107" s="64">
        <v>602.8</v>
      </c>
      <c r="J107" s="64">
        <v>2.63</v>
      </c>
      <c r="K107" s="64">
        <v>10.51</v>
      </c>
      <c r="L107" s="38"/>
    </row>
    <row r="108" s="4" customFormat="1" ht="24.95" customHeight="1" spans="1:12">
      <c r="A108" s="20">
        <v>102</v>
      </c>
      <c r="B108" s="38" t="s">
        <v>146</v>
      </c>
      <c r="C108" s="39" t="s">
        <v>200</v>
      </c>
      <c r="D108" s="39" t="s">
        <v>117</v>
      </c>
      <c r="E108" s="40">
        <v>2003.5</v>
      </c>
      <c r="F108" s="39" t="s">
        <v>93</v>
      </c>
      <c r="G108" s="46">
        <v>4</v>
      </c>
      <c r="H108" s="64">
        <v>231.9</v>
      </c>
      <c r="I108" s="64">
        <v>927.5</v>
      </c>
      <c r="J108" s="64">
        <v>4.02</v>
      </c>
      <c r="K108" s="64">
        <v>16.06</v>
      </c>
      <c r="L108" s="38"/>
    </row>
    <row r="109" s="4" customFormat="1" ht="24.95" customHeight="1" spans="1:12">
      <c r="A109" s="20">
        <v>103</v>
      </c>
      <c r="B109" s="38" t="s">
        <v>146</v>
      </c>
      <c r="C109" s="39" t="s">
        <v>201</v>
      </c>
      <c r="D109" s="39" t="s">
        <v>117</v>
      </c>
      <c r="E109" s="40">
        <v>2887</v>
      </c>
      <c r="F109" s="39" t="s">
        <v>93</v>
      </c>
      <c r="G109" s="46">
        <v>1</v>
      </c>
      <c r="H109" s="64">
        <v>344.3</v>
      </c>
      <c r="I109" s="64">
        <v>344.3</v>
      </c>
      <c r="J109" s="64">
        <v>6.05</v>
      </c>
      <c r="K109" s="64">
        <v>6.05</v>
      </c>
      <c r="L109" s="38"/>
    </row>
    <row r="110" s="4" customFormat="1" ht="24.95" customHeight="1" spans="1:12">
      <c r="A110" s="20">
        <v>104</v>
      </c>
      <c r="B110" s="38" t="s">
        <v>146</v>
      </c>
      <c r="C110" s="39" t="s">
        <v>202</v>
      </c>
      <c r="D110" s="39" t="s">
        <v>92</v>
      </c>
      <c r="E110" s="40">
        <v>2887</v>
      </c>
      <c r="F110" s="39" t="s">
        <v>93</v>
      </c>
      <c r="G110" s="46">
        <v>1</v>
      </c>
      <c r="H110" s="64">
        <v>480.8</v>
      </c>
      <c r="I110" s="64">
        <v>480.8</v>
      </c>
      <c r="J110" s="64">
        <v>7.63</v>
      </c>
      <c r="K110" s="64">
        <v>7.63</v>
      </c>
      <c r="L110" s="38"/>
    </row>
    <row r="111" s="4" customFormat="1" ht="24.95" customHeight="1" spans="1:12">
      <c r="A111" s="20">
        <v>105</v>
      </c>
      <c r="B111" s="38" t="s">
        <v>146</v>
      </c>
      <c r="C111" s="39" t="s">
        <v>203</v>
      </c>
      <c r="D111" s="39" t="s">
        <v>117</v>
      </c>
      <c r="E111" s="40">
        <v>9385</v>
      </c>
      <c r="F111" s="39" t="s">
        <v>93</v>
      </c>
      <c r="G111" s="46">
        <v>1</v>
      </c>
      <c r="H111" s="64">
        <v>1138.4</v>
      </c>
      <c r="I111" s="64">
        <v>1138.4</v>
      </c>
      <c r="J111" s="64">
        <v>20.15</v>
      </c>
      <c r="K111" s="64">
        <v>20.15</v>
      </c>
      <c r="L111" s="38"/>
    </row>
    <row r="112" s="4" customFormat="1" ht="24.95" customHeight="1" spans="1:12">
      <c r="A112" s="20">
        <v>106</v>
      </c>
      <c r="B112" s="38" t="s">
        <v>146</v>
      </c>
      <c r="C112" s="39" t="s">
        <v>204</v>
      </c>
      <c r="D112" s="39" t="s">
        <v>117</v>
      </c>
      <c r="E112" s="40">
        <v>9385</v>
      </c>
      <c r="F112" s="39" t="s">
        <v>93</v>
      </c>
      <c r="G112" s="46">
        <v>1</v>
      </c>
      <c r="H112" s="64">
        <v>1138.4</v>
      </c>
      <c r="I112" s="64">
        <v>1138.4</v>
      </c>
      <c r="J112" s="64">
        <v>20.15</v>
      </c>
      <c r="K112" s="64">
        <v>20.15</v>
      </c>
      <c r="L112" s="38"/>
    </row>
    <row r="113" s="4" customFormat="1" ht="24.95" customHeight="1" spans="1:12">
      <c r="A113" s="20">
        <v>107</v>
      </c>
      <c r="B113" s="38" t="s">
        <v>146</v>
      </c>
      <c r="C113" s="39" t="s">
        <v>205</v>
      </c>
      <c r="D113" s="39" t="s">
        <v>92</v>
      </c>
      <c r="E113" s="40">
        <v>5053.5</v>
      </c>
      <c r="F113" s="39" t="s">
        <v>93</v>
      </c>
      <c r="G113" s="46">
        <v>1</v>
      </c>
      <c r="H113" s="64">
        <v>850.9</v>
      </c>
      <c r="I113" s="64">
        <v>850.9</v>
      </c>
      <c r="J113" s="64">
        <v>13.72</v>
      </c>
      <c r="K113" s="64">
        <v>13.72</v>
      </c>
      <c r="L113" s="38"/>
    </row>
    <row r="114" s="4" customFormat="1" ht="24.95" customHeight="1" spans="1:12">
      <c r="A114" s="20">
        <v>108</v>
      </c>
      <c r="B114" s="38" t="s">
        <v>146</v>
      </c>
      <c r="C114" s="39" t="s">
        <v>206</v>
      </c>
      <c r="D114" s="39" t="s">
        <v>92</v>
      </c>
      <c r="E114" s="40">
        <v>5291</v>
      </c>
      <c r="F114" s="39" t="s">
        <v>93</v>
      </c>
      <c r="G114" s="46">
        <v>12</v>
      </c>
      <c r="H114" s="64">
        <v>889.2</v>
      </c>
      <c r="I114" s="64">
        <v>10670.6</v>
      </c>
      <c r="J114" s="64">
        <v>14.31</v>
      </c>
      <c r="K114" s="64">
        <v>171.68</v>
      </c>
      <c r="L114" s="38"/>
    </row>
    <row r="115" s="4" customFormat="1" ht="24.95" customHeight="1" spans="1:12">
      <c r="A115" s="20">
        <v>109</v>
      </c>
      <c r="B115" s="38" t="s">
        <v>146</v>
      </c>
      <c r="C115" s="39" t="s">
        <v>207</v>
      </c>
      <c r="D115" s="39" t="s">
        <v>92</v>
      </c>
      <c r="E115" s="40">
        <v>5291</v>
      </c>
      <c r="F115" s="39" t="s">
        <v>93</v>
      </c>
      <c r="G115" s="46">
        <v>14</v>
      </c>
      <c r="H115" s="64">
        <v>889.2</v>
      </c>
      <c r="I115" s="64">
        <v>12449</v>
      </c>
      <c r="J115" s="64">
        <v>14.31</v>
      </c>
      <c r="K115" s="64">
        <v>200.29</v>
      </c>
      <c r="L115" s="38"/>
    </row>
    <row r="116" s="4" customFormat="1" ht="24.95" customHeight="1" spans="1:12">
      <c r="A116" s="20">
        <v>110</v>
      </c>
      <c r="B116" s="38" t="s">
        <v>146</v>
      </c>
      <c r="C116" s="39" t="s">
        <v>208</v>
      </c>
      <c r="D116" s="39" t="s">
        <v>92</v>
      </c>
      <c r="E116" s="40">
        <v>5058</v>
      </c>
      <c r="F116" s="39" t="s">
        <v>93</v>
      </c>
      <c r="G116" s="46">
        <v>1</v>
      </c>
      <c r="H116" s="64">
        <v>851.6</v>
      </c>
      <c r="I116" s="64">
        <v>851.6</v>
      </c>
      <c r="J116" s="64">
        <v>13.73</v>
      </c>
      <c r="K116" s="64">
        <v>13.73</v>
      </c>
      <c r="L116" s="38"/>
    </row>
    <row r="117" s="4" customFormat="1" ht="24.95" customHeight="1" spans="1:12">
      <c r="A117" s="20">
        <v>111</v>
      </c>
      <c r="B117" s="38" t="s">
        <v>146</v>
      </c>
      <c r="C117" s="39" t="s">
        <v>209</v>
      </c>
      <c r="D117" s="39" t="s">
        <v>92</v>
      </c>
      <c r="E117" s="40">
        <v>5058</v>
      </c>
      <c r="F117" s="39" t="s">
        <v>93</v>
      </c>
      <c r="G117" s="46">
        <v>1</v>
      </c>
      <c r="H117" s="64">
        <v>851.6</v>
      </c>
      <c r="I117" s="64">
        <v>851.6</v>
      </c>
      <c r="J117" s="64">
        <v>13.73</v>
      </c>
      <c r="K117" s="64">
        <v>13.73</v>
      </c>
      <c r="L117" s="38"/>
    </row>
    <row r="118" s="4" customFormat="1" ht="24.95" customHeight="1" spans="1:12">
      <c r="A118" s="20">
        <v>112</v>
      </c>
      <c r="B118" s="38" t="s">
        <v>146</v>
      </c>
      <c r="C118" s="39" t="s">
        <v>210</v>
      </c>
      <c r="D118" s="39" t="s">
        <v>92</v>
      </c>
      <c r="E118" s="40">
        <v>5058</v>
      </c>
      <c r="F118" s="39" t="s">
        <v>93</v>
      </c>
      <c r="G118" s="46">
        <v>1</v>
      </c>
      <c r="H118" s="64">
        <v>851.6</v>
      </c>
      <c r="I118" s="64">
        <v>851.6</v>
      </c>
      <c r="J118" s="64">
        <v>13.73</v>
      </c>
      <c r="K118" s="64">
        <v>13.73</v>
      </c>
      <c r="L118" s="38"/>
    </row>
    <row r="119" s="4" customFormat="1" ht="24.95" customHeight="1" spans="1:12">
      <c r="A119" s="20">
        <v>113</v>
      </c>
      <c r="B119" s="38" t="s">
        <v>146</v>
      </c>
      <c r="C119" s="39" t="s">
        <v>211</v>
      </c>
      <c r="D119" s="39" t="s">
        <v>92</v>
      </c>
      <c r="E119" s="40">
        <v>5291</v>
      </c>
      <c r="F119" s="39" t="s">
        <v>93</v>
      </c>
      <c r="G119" s="46">
        <v>2</v>
      </c>
      <c r="H119" s="64">
        <v>889.2</v>
      </c>
      <c r="I119" s="64">
        <v>1778.4</v>
      </c>
      <c r="J119" s="64">
        <v>14.31</v>
      </c>
      <c r="K119" s="64">
        <v>28.61</v>
      </c>
      <c r="L119" s="38"/>
    </row>
    <row r="120" s="4" customFormat="1" ht="24.95" customHeight="1" spans="1:12">
      <c r="A120" s="20">
        <v>114</v>
      </c>
      <c r="B120" s="38" t="s">
        <v>146</v>
      </c>
      <c r="C120" s="39" t="s">
        <v>212</v>
      </c>
      <c r="D120" s="39" t="s">
        <v>92</v>
      </c>
      <c r="E120" s="40">
        <v>5053.5</v>
      </c>
      <c r="F120" s="39" t="s">
        <v>93</v>
      </c>
      <c r="G120" s="46">
        <v>1</v>
      </c>
      <c r="H120" s="64">
        <v>851</v>
      </c>
      <c r="I120" s="64">
        <v>851</v>
      </c>
      <c r="J120" s="64">
        <v>13.72</v>
      </c>
      <c r="K120" s="64">
        <v>13.72</v>
      </c>
      <c r="L120" s="38"/>
    </row>
    <row r="121" s="4" customFormat="1" ht="24.95" customHeight="1" spans="1:12">
      <c r="A121" s="20">
        <v>115</v>
      </c>
      <c r="B121" s="38" t="s">
        <v>146</v>
      </c>
      <c r="C121" s="39" t="s">
        <v>213</v>
      </c>
      <c r="D121" s="39" t="s">
        <v>117</v>
      </c>
      <c r="E121" s="40">
        <v>2847</v>
      </c>
      <c r="F121" s="39" t="s">
        <v>93</v>
      </c>
      <c r="G121" s="46">
        <v>1</v>
      </c>
      <c r="H121" s="64">
        <v>340.6</v>
      </c>
      <c r="I121" s="64">
        <v>340.6</v>
      </c>
      <c r="J121" s="64">
        <v>6</v>
      </c>
      <c r="K121" s="64">
        <v>6</v>
      </c>
      <c r="L121" s="38"/>
    </row>
    <row r="122" s="4" customFormat="1" ht="24.95" customHeight="1" spans="1:12">
      <c r="A122" s="20">
        <v>116</v>
      </c>
      <c r="B122" s="38" t="s">
        <v>146</v>
      </c>
      <c r="C122" s="39" t="s">
        <v>214</v>
      </c>
      <c r="D122" s="39" t="s">
        <v>92</v>
      </c>
      <c r="E122" s="40">
        <v>5291</v>
      </c>
      <c r="F122" s="39" t="s">
        <v>93</v>
      </c>
      <c r="G122" s="46">
        <v>14</v>
      </c>
      <c r="H122" s="64">
        <v>876.8</v>
      </c>
      <c r="I122" s="64">
        <v>12274.7</v>
      </c>
      <c r="J122" s="64">
        <v>14.02</v>
      </c>
      <c r="K122" s="64">
        <v>196.32</v>
      </c>
      <c r="L122" s="38"/>
    </row>
    <row r="123" s="4" customFormat="1" ht="24.95" customHeight="1" spans="1:12">
      <c r="A123" s="20">
        <v>117</v>
      </c>
      <c r="B123" s="38" t="s">
        <v>146</v>
      </c>
      <c r="C123" s="39" t="s">
        <v>215</v>
      </c>
      <c r="D123" s="39" t="s">
        <v>92</v>
      </c>
      <c r="E123" s="40">
        <v>5058</v>
      </c>
      <c r="F123" s="39" t="s">
        <v>93</v>
      </c>
      <c r="G123" s="46">
        <v>1</v>
      </c>
      <c r="H123" s="64">
        <v>839.2</v>
      </c>
      <c r="I123" s="64">
        <v>839.2</v>
      </c>
      <c r="J123" s="64">
        <v>13.45</v>
      </c>
      <c r="K123" s="64">
        <v>13.45</v>
      </c>
      <c r="L123" s="38"/>
    </row>
    <row r="124" s="4" customFormat="1" ht="24.95" customHeight="1" spans="1:12">
      <c r="A124" s="20">
        <v>118</v>
      </c>
      <c r="B124" s="38" t="s">
        <v>146</v>
      </c>
      <c r="C124" s="39" t="s">
        <v>216</v>
      </c>
      <c r="D124" s="39" t="s">
        <v>92</v>
      </c>
      <c r="E124" s="40">
        <v>5058</v>
      </c>
      <c r="F124" s="39" t="s">
        <v>93</v>
      </c>
      <c r="G124" s="46">
        <v>1</v>
      </c>
      <c r="H124" s="64">
        <v>839.2</v>
      </c>
      <c r="I124" s="64">
        <v>839.2</v>
      </c>
      <c r="J124" s="64">
        <v>13.45</v>
      </c>
      <c r="K124" s="64">
        <v>13.45</v>
      </c>
      <c r="L124" s="38"/>
    </row>
    <row r="125" s="4" customFormat="1" ht="24.95" customHeight="1" spans="1:12">
      <c r="A125" s="20">
        <v>119</v>
      </c>
      <c r="B125" s="38" t="s">
        <v>146</v>
      </c>
      <c r="C125" s="39" t="s">
        <v>217</v>
      </c>
      <c r="D125" s="39" t="s">
        <v>92</v>
      </c>
      <c r="E125" s="40">
        <v>1601</v>
      </c>
      <c r="F125" s="39" t="s">
        <v>93</v>
      </c>
      <c r="G125" s="46">
        <v>1</v>
      </c>
      <c r="H125" s="64">
        <v>271.6</v>
      </c>
      <c r="I125" s="64">
        <v>271.6</v>
      </c>
      <c r="J125" s="64">
        <v>4.41</v>
      </c>
      <c r="K125" s="64">
        <v>4.41</v>
      </c>
      <c r="L125" s="38"/>
    </row>
    <row r="126" s="4" customFormat="1" ht="24.95" customHeight="1" spans="1:12">
      <c r="A126" s="20">
        <v>120</v>
      </c>
      <c r="B126" s="38" t="s">
        <v>146</v>
      </c>
      <c r="C126" s="39" t="s">
        <v>218</v>
      </c>
      <c r="D126" s="39" t="s">
        <v>92</v>
      </c>
      <c r="E126" s="40">
        <v>1601</v>
      </c>
      <c r="F126" s="39" t="s">
        <v>93</v>
      </c>
      <c r="G126" s="46">
        <v>1</v>
      </c>
      <c r="H126" s="64">
        <v>271.6</v>
      </c>
      <c r="I126" s="64">
        <v>271.6</v>
      </c>
      <c r="J126" s="64">
        <v>4.41</v>
      </c>
      <c r="K126" s="64">
        <v>4.41</v>
      </c>
      <c r="L126" s="38"/>
    </row>
    <row r="127" s="4" customFormat="1" ht="24.95" customHeight="1" spans="1:12">
      <c r="A127" s="20">
        <v>121</v>
      </c>
      <c r="B127" s="38" t="s">
        <v>146</v>
      </c>
      <c r="C127" s="39" t="s">
        <v>219</v>
      </c>
      <c r="D127" s="39" t="s">
        <v>92</v>
      </c>
      <c r="E127" s="40">
        <v>2303.5</v>
      </c>
      <c r="F127" s="39" t="s">
        <v>93</v>
      </c>
      <c r="G127" s="46">
        <v>1</v>
      </c>
      <c r="H127" s="64">
        <v>384.8</v>
      </c>
      <c r="I127" s="64">
        <v>384.8</v>
      </c>
      <c r="J127" s="64">
        <v>6.15</v>
      </c>
      <c r="K127" s="64">
        <v>6.15</v>
      </c>
      <c r="L127" s="38"/>
    </row>
    <row r="128" s="4" customFormat="1" ht="24.95" customHeight="1" spans="1:12">
      <c r="A128" s="20">
        <v>122</v>
      </c>
      <c r="B128" s="38" t="s">
        <v>146</v>
      </c>
      <c r="C128" s="39" t="s">
        <v>220</v>
      </c>
      <c r="D128" s="39" t="s">
        <v>92</v>
      </c>
      <c r="E128" s="40">
        <v>2303.5</v>
      </c>
      <c r="F128" s="39" t="s">
        <v>93</v>
      </c>
      <c r="G128" s="46">
        <v>1</v>
      </c>
      <c r="H128" s="64">
        <v>384.8</v>
      </c>
      <c r="I128" s="64">
        <v>384.8</v>
      </c>
      <c r="J128" s="64">
        <v>6.15</v>
      </c>
      <c r="K128" s="64">
        <v>6.15</v>
      </c>
      <c r="L128" s="38"/>
    </row>
    <row r="129" s="4" customFormat="1" ht="24.95" customHeight="1" spans="1:12">
      <c r="A129" s="20">
        <v>123</v>
      </c>
      <c r="B129" s="38" t="s">
        <v>146</v>
      </c>
      <c r="C129" s="39" t="s">
        <v>221</v>
      </c>
      <c r="D129" s="39" t="s">
        <v>142</v>
      </c>
      <c r="E129" s="40">
        <v>2887</v>
      </c>
      <c r="F129" s="39" t="s">
        <v>93</v>
      </c>
      <c r="G129" s="46">
        <v>2</v>
      </c>
      <c r="H129" s="64">
        <v>259.4</v>
      </c>
      <c r="I129" s="64">
        <v>518.9</v>
      </c>
      <c r="J129" s="64">
        <v>5.41</v>
      </c>
      <c r="K129" s="64">
        <v>10.82</v>
      </c>
      <c r="L129" s="38"/>
    </row>
    <row r="130" s="4" customFormat="1" ht="24.95" customHeight="1" spans="1:12">
      <c r="A130" s="20">
        <v>124</v>
      </c>
      <c r="B130" s="38" t="s">
        <v>146</v>
      </c>
      <c r="C130" s="39" t="s">
        <v>222</v>
      </c>
      <c r="D130" s="39" t="s">
        <v>142</v>
      </c>
      <c r="E130" s="40">
        <v>2887</v>
      </c>
      <c r="F130" s="39" t="s">
        <v>93</v>
      </c>
      <c r="G130" s="46">
        <v>2</v>
      </c>
      <c r="H130" s="64">
        <v>259.4</v>
      </c>
      <c r="I130" s="64">
        <v>518.9</v>
      </c>
      <c r="J130" s="64">
        <v>5.41</v>
      </c>
      <c r="K130" s="64">
        <v>10.82</v>
      </c>
      <c r="L130" s="38"/>
    </row>
    <row r="131" s="4" customFormat="1" ht="24.95" customHeight="1" spans="1:12">
      <c r="A131" s="20">
        <v>125</v>
      </c>
      <c r="B131" s="38" t="s">
        <v>146</v>
      </c>
      <c r="C131" s="39" t="s">
        <v>223</v>
      </c>
      <c r="D131" s="39" t="s">
        <v>142</v>
      </c>
      <c r="E131" s="40">
        <v>1301</v>
      </c>
      <c r="F131" s="39" t="s">
        <v>93</v>
      </c>
      <c r="G131" s="46">
        <v>10</v>
      </c>
      <c r="H131" s="64">
        <v>113.8</v>
      </c>
      <c r="I131" s="64">
        <v>1137.9</v>
      </c>
      <c r="J131" s="64">
        <v>2.37</v>
      </c>
      <c r="K131" s="64">
        <v>23.66</v>
      </c>
      <c r="L131" s="38"/>
    </row>
    <row r="132" s="4" customFormat="1" ht="24.95" customHeight="1" spans="1:12">
      <c r="A132" s="20">
        <v>126</v>
      </c>
      <c r="B132" s="38" t="s">
        <v>146</v>
      </c>
      <c r="C132" s="39" t="s">
        <v>224</v>
      </c>
      <c r="D132" s="39" t="s">
        <v>92</v>
      </c>
      <c r="E132" s="40">
        <v>1601</v>
      </c>
      <c r="F132" s="39" t="s">
        <v>93</v>
      </c>
      <c r="G132" s="46">
        <v>2</v>
      </c>
      <c r="H132" s="64">
        <v>254.9</v>
      </c>
      <c r="I132" s="64">
        <v>509.7</v>
      </c>
      <c r="J132" s="64">
        <v>3.96</v>
      </c>
      <c r="K132" s="64">
        <v>7.91</v>
      </c>
      <c r="L132" s="38"/>
    </row>
    <row r="133" s="4" customFormat="1" ht="24.95" customHeight="1" spans="1:12">
      <c r="A133" s="20">
        <v>127</v>
      </c>
      <c r="B133" s="38" t="s">
        <v>146</v>
      </c>
      <c r="C133" s="39" t="s">
        <v>225</v>
      </c>
      <c r="D133" s="39" t="s">
        <v>92</v>
      </c>
      <c r="E133" s="40">
        <v>2303.5</v>
      </c>
      <c r="F133" s="39" t="s">
        <v>93</v>
      </c>
      <c r="G133" s="46">
        <v>2</v>
      </c>
      <c r="H133" s="64">
        <v>368.1</v>
      </c>
      <c r="I133" s="64">
        <v>736.3</v>
      </c>
      <c r="J133" s="64">
        <v>5.69</v>
      </c>
      <c r="K133" s="64">
        <v>11.39</v>
      </c>
      <c r="L133" s="38"/>
    </row>
    <row r="134" s="4" customFormat="1" ht="24.95" customHeight="1" spans="1:12">
      <c r="A134" s="20">
        <v>128</v>
      </c>
      <c r="B134" s="38" t="s">
        <v>146</v>
      </c>
      <c r="C134" s="39" t="s">
        <v>226</v>
      </c>
      <c r="D134" s="39" t="s">
        <v>142</v>
      </c>
      <c r="E134" s="40">
        <v>2887</v>
      </c>
      <c r="F134" s="39" t="s">
        <v>93</v>
      </c>
      <c r="G134" s="46">
        <v>16</v>
      </c>
      <c r="H134" s="64">
        <v>249.5</v>
      </c>
      <c r="I134" s="64">
        <v>3991.3</v>
      </c>
      <c r="J134" s="64">
        <v>5.13</v>
      </c>
      <c r="K134" s="64">
        <v>82.08</v>
      </c>
      <c r="L134" s="38"/>
    </row>
    <row r="135" s="4" customFormat="1" ht="24.95" customHeight="1" spans="1:12">
      <c r="A135" s="20">
        <v>129</v>
      </c>
      <c r="B135" s="38" t="s">
        <v>146</v>
      </c>
      <c r="C135" s="39" t="s">
        <v>227</v>
      </c>
      <c r="D135" s="39" t="s">
        <v>117</v>
      </c>
      <c r="E135" s="40">
        <v>2837</v>
      </c>
      <c r="F135" s="39" t="s">
        <v>93</v>
      </c>
      <c r="G135" s="46">
        <v>1</v>
      </c>
      <c r="H135" s="64">
        <v>340.4</v>
      </c>
      <c r="I135" s="64">
        <v>340.4</v>
      </c>
      <c r="J135" s="64">
        <v>6.02</v>
      </c>
      <c r="K135" s="64">
        <v>6.02</v>
      </c>
      <c r="L135" s="38"/>
    </row>
    <row r="136" s="4" customFormat="1" ht="24.95" customHeight="1" spans="1:12">
      <c r="A136" s="20">
        <v>130</v>
      </c>
      <c r="B136" s="38" t="s">
        <v>146</v>
      </c>
      <c r="C136" s="39" t="s">
        <v>228</v>
      </c>
      <c r="D136" s="39" t="s">
        <v>92</v>
      </c>
      <c r="E136" s="40">
        <v>6196</v>
      </c>
      <c r="F136" s="39" t="s">
        <v>93</v>
      </c>
      <c r="G136" s="46">
        <v>1</v>
      </c>
      <c r="H136" s="64">
        <v>1001</v>
      </c>
      <c r="I136" s="64">
        <v>1001</v>
      </c>
      <c r="J136" s="64">
        <v>15.45</v>
      </c>
      <c r="K136" s="64">
        <v>15.45</v>
      </c>
      <c r="L136" s="38"/>
    </row>
    <row r="137" s="4" customFormat="1" ht="24.95" customHeight="1" spans="1:12">
      <c r="A137" s="20">
        <v>131</v>
      </c>
      <c r="B137" s="38" t="s">
        <v>146</v>
      </c>
      <c r="C137" s="39" t="s">
        <v>229</v>
      </c>
      <c r="D137" s="39" t="s">
        <v>117</v>
      </c>
      <c r="E137" s="40">
        <v>6196</v>
      </c>
      <c r="F137" s="39" t="s">
        <v>93</v>
      </c>
      <c r="G137" s="46">
        <v>1</v>
      </c>
      <c r="H137" s="64">
        <v>717.3</v>
      </c>
      <c r="I137" s="64">
        <v>717.3</v>
      </c>
      <c r="J137" s="64">
        <v>12.34</v>
      </c>
      <c r="K137" s="64">
        <v>12.34</v>
      </c>
      <c r="L137" s="38"/>
    </row>
    <row r="138" s="4" customFormat="1" ht="24.95" customHeight="1" spans="1:12">
      <c r="A138" s="20">
        <v>132</v>
      </c>
      <c r="B138" s="38" t="s">
        <v>146</v>
      </c>
      <c r="C138" s="39" t="s">
        <v>230</v>
      </c>
      <c r="D138" s="39" t="s">
        <v>117</v>
      </c>
      <c r="E138" s="40">
        <v>2887</v>
      </c>
      <c r="F138" s="39" t="s">
        <v>93</v>
      </c>
      <c r="G138" s="46">
        <v>1</v>
      </c>
      <c r="H138" s="64">
        <v>344.3</v>
      </c>
      <c r="I138" s="64">
        <v>344.3</v>
      </c>
      <c r="J138" s="64">
        <v>6.05</v>
      </c>
      <c r="K138" s="64">
        <v>6.05</v>
      </c>
      <c r="L138" s="38"/>
    </row>
    <row r="139" s="4" customFormat="1" ht="24.95" customHeight="1" spans="1:12">
      <c r="A139" s="20">
        <v>133</v>
      </c>
      <c r="B139" s="38" t="s">
        <v>146</v>
      </c>
      <c r="C139" s="39" t="s">
        <v>231</v>
      </c>
      <c r="D139" s="39" t="s">
        <v>92</v>
      </c>
      <c r="E139" s="40">
        <v>2887</v>
      </c>
      <c r="F139" s="39" t="s">
        <v>93</v>
      </c>
      <c r="G139" s="46">
        <v>1</v>
      </c>
      <c r="H139" s="64">
        <v>480.8</v>
      </c>
      <c r="I139" s="64">
        <v>480.8</v>
      </c>
      <c r="J139" s="64">
        <v>7.63</v>
      </c>
      <c r="K139" s="64">
        <v>7.63</v>
      </c>
      <c r="L139" s="38"/>
    </row>
    <row r="140" s="4" customFormat="1" ht="24.95" customHeight="1" spans="1:12">
      <c r="A140" s="20">
        <v>134</v>
      </c>
      <c r="B140" s="38" t="s">
        <v>146</v>
      </c>
      <c r="C140" s="39" t="s">
        <v>232</v>
      </c>
      <c r="D140" s="39" t="s">
        <v>117</v>
      </c>
      <c r="E140" s="40">
        <v>1305.5</v>
      </c>
      <c r="F140" s="39" t="s">
        <v>93</v>
      </c>
      <c r="G140" s="46">
        <v>1</v>
      </c>
      <c r="H140" s="64">
        <v>151.2</v>
      </c>
      <c r="I140" s="64">
        <v>151.2</v>
      </c>
      <c r="J140" s="64">
        <v>2.64</v>
      </c>
      <c r="K140" s="64">
        <v>2.64</v>
      </c>
      <c r="L140" s="38"/>
    </row>
    <row r="141" s="4" customFormat="1" ht="24.95" customHeight="1" spans="1:12">
      <c r="A141" s="20">
        <v>135</v>
      </c>
      <c r="B141" s="38" t="s">
        <v>146</v>
      </c>
      <c r="C141" s="39" t="s">
        <v>233</v>
      </c>
      <c r="D141" s="39" t="s">
        <v>92</v>
      </c>
      <c r="E141" s="40">
        <v>2290</v>
      </c>
      <c r="F141" s="39" t="s">
        <v>93</v>
      </c>
      <c r="G141" s="46">
        <v>1</v>
      </c>
      <c r="H141" s="64">
        <v>368.8</v>
      </c>
      <c r="I141" s="64">
        <v>368.8</v>
      </c>
      <c r="J141" s="64">
        <v>5.72</v>
      </c>
      <c r="K141" s="64">
        <v>5.72</v>
      </c>
      <c r="L141" s="38"/>
    </row>
    <row r="142" s="4" customFormat="1" ht="24.95" customHeight="1" spans="1:12">
      <c r="A142" s="20">
        <v>136</v>
      </c>
      <c r="B142" s="38" t="s">
        <v>146</v>
      </c>
      <c r="C142" s="39" t="s">
        <v>234</v>
      </c>
      <c r="D142" s="39" t="s">
        <v>92</v>
      </c>
      <c r="E142" s="40">
        <v>2263.5</v>
      </c>
      <c r="F142" s="39" t="s">
        <v>93</v>
      </c>
      <c r="G142" s="46">
        <v>1</v>
      </c>
      <c r="H142" s="64">
        <v>348.9</v>
      </c>
      <c r="I142" s="64">
        <v>348.9</v>
      </c>
      <c r="J142" s="64">
        <v>5.44</v>
      </c>
      <c r="K142" s="64">
        <v>5.44</v>
      </c>
      <c r="L142" s="38"/>
    </row>
    <row r="143" s="4" customFormat="1" ht="24.95" customHeight="1" spans="1:12">
      <c r="A143" s="20">
        <v>137</v>
      </c>
      <c r="B143" s="38" t="s">
        <v>146</v>
      </c>
      <c r="C143" s="39" t="s">
        <v>235</v>
      </c>
      <c r="D143" s="39" t="s">
        <v>117</v>
      </c>
      <c r="E143" s="40">
        <v>2375</v>
      </c>
      <c r="F143" s="39" t="s">
        <v>93</v>
      </c>
      <c r="G143" s="46">
        <v>1</v>
      </c>
      <c r="H143" s="64">
        <v>268.1</v>
      </c>
      <c r="I143" s="64">
        <v>268.1</v>
      </c>
      <c r="J143" s="64">
        <v>4.65</v>
      </c>
      <c r="K143" s="64">
        <v>4.65</v>
      </c>
      <c r="L143" s="38"/>
    </row>
    <row r="144" s="4" customFormat="1" ht="24.95" customHeight="1" spans="1:12">
      <c r="A144" s="20">
        <v>138</v>
      </c>
      <c r="B144" s="38" t="s">
        <v>146</v>
      </c>
      <c r="C144" s="39" t="s">
        <v>236</v>
      </c>
      <c r="D144" s="39" t="s">
        <v>92</v>
      </c>
      <c r="E144" s="40">
        <v>1565.5</v>
      </c>
      <c r="F144" s="39" t="s">
        <v>93</v>
      </c>
      <c r="G144" s="46">
        <v>1</v>
      </c>
      <c r="H144" s="64">
        <v>236.4</v>
      </c>
      <c r="I144" s="64">
        <v>236.4</v>
      </c>
      <c r="J144" s="64">
        <v>3.72</v>
      </c>
      <c r="K144" s="64">
        <v>3.72</v>
      </c>
      <c r="L144" s="38"/>
    </row>
    <row r="145" s="4" customFormat="1" ht="24.95" customHeight="1" spans="1:12">
      <c r="A145" s="20">
        <v>139</v>
      </c>
      <c r="B145" s="38" t="s">
        <v>146</v>
      </c>
      <c r="C145" s="39" t="s">
        <v>237</v>
      </c>
      <c r="D145" s="39" t="s">
        <v>109</v>
      </c>
      <c r="E145" s="40">
        <v>1301</v>
      </c>
      <c r="F145" s="39" t="s">
        <v>93</v>
      </c>
      <c r="G145" s="46">
        <v>10</v>
      </c>
      <c r="H145" s="64">
        <v>64.4</v>
      </c>
      <c r="I145" s="64">
        <v>643.6</v>
      </c>
      <c r="J145" s="64">
        <v>1.59</v>
      </c>
      <c r="K145" s="64">
        <v>15.89</v>
      </c>
      <c r="L145" s="38"/>
    </row>
    <row r="146" s="4" customFormat="1" ht="24.95" customHeight="1" spans="1:12">
      <c r="A146" s="20">
        <v>140</v>
      </c>
      <c r="B146" s="38" t="s">
        <v>146</v>
      </c>
      <c r="C146" s="39" t="s">
        <v>238</v>
      </c>
      <c r="D146" s="39" t="s">
        <v>109</v>
      </c>
      <c r="E146" s="40">
        <v>2797</v>
      </c>
      <c r="F146" s="39" t="s">
        <v>93</v>
      </c>
      <c r="G146" s="46">
        <v>10</v>
      </c>
      <c r="H146" s="64">
        <v>148.9</v>
      </c>
      <c r="I146" s="64">
        <v>1488.8</v>
      </c>
      <c r="J146" s="64">
        <v>3.83</v>
      </c>
      <c r="K146" s="64">
        <v>38.34</v>
      </c>
      <c r="L146" s="38"/>
    </row>
    <row r="147" s="4" customFormat="1" ht="24.95" customHeight="1" spans="1:12">
      <c r="A147" s="20">
        <v>141</v>
      </c>
      <c r="B147" s="38" t="s">
        <v>146</v>
      </c>
      <c r="C147" s="39" t="s">
        <v>239</v>
      </c>
      <c r="D147" s="39" t="s">
        <v>109</v>
      </c>
      <c r="E147" s="40">
        <v>2797</v>
      </c>
      <c r="F147" s="39" t="s">
        <v>93</v>
      </c>
      <c r="G147" s="46">
        <v>10</v>
      </c>
      <c r="H147" s="64">
        <v>148.9</v>
      </c>
      <c r="I147" s="64">
        <v>1488.8</v>
      </c>
      <c r="J147" s="64">
        <v>3.83</v>
      </c>
      <c r="K147" s="64">
        <v>38.34</v>
      </c>
      <c r="L147" s="38"/>
    </row>
    <row r="148" s="4" customFormat="1" ht="24.95" customHeight="1" spans="1:12">
      <c r="A148" s="20">
        <v>142</v>
      </c>
      <c r="B148" s="38" t="s">
        <v>146</v>
      </c>
      <c r="C148" s="39" t="s">
        <v>240</v>
      </c>
      <c r="D148" s="39" t="s">
        <v>241</v>
      </c>
      <c r="E148" s="40">
        <v>8998</v>
      </c>
      <c r="F148" s="39" t="s">
        <v>93</v>
      </c>
      <c r="G148" s="46">
        <v>15</v>
      </c>
      <c r="H148" s="64">
        <v>1793</v>
      </c>
      <c r="I148" s="64">
        <v>26894.9</v>
      </c>
      <c r="J148" s="64">
        <v>25.46</v>
      </c>
      <c r="K148" s="64">
        <v>381.85</v>
      </c>
      <c r="L148" s="38"/>
    </row>
    <row r="149" s="4" customFormat="1" ht="24.95" customHeight="1" spans="1:12">
      <c r="A149" s="20">
        <v>143</v>
      </c>
      <c r="B149" s="38" t="s">
        <v>146</v>
      </c>
      <c r="C149" s="39" t="s">
        <v>242</v>
      </c>
      <c r="D149" s="39" t="s">
        <v>241</v>
      </c>
      <c r="E149" s="40">
        <v>6416</v>
      </c>
      <c r="F149" s="39" t="s">
        <v>93</v>
      </c>
      <c r="G149" s="46">
        <v>16</v>
      </c>
      <c r="H149" s="64">
        <v>1245.1</v>
      </c>
      <c r="I149" s="64">
        <v>19922.2</v>
      </c>
      <c r="J149" s="64">
        <v>17.95</v>
      </c>
      <c r="K149" s="64">
        <v>287.21</v>
      </c>
      <c r="L149" s="38"/>
    </row>
    <row r="150" s="4" customFormat="1" ht="24.95" customHeight="1" spans="1:12">
      <c r="A150" s="20">
        <v>144</v>
      </c>
      <c r="B150" s="38" t="s">
        <v>146</v>
      </c>
      <c r="C150" s="39" t="s">
        <v>243</v>
      </c>
      <c r="D150" s="39" t="s">
        <v>109</v>
      </c>
      <c r="E150" s="40">
        <v>1519</v>
      </c>
      <c r="F150" s="39" t="s">
        <v>93</v>
      </c>
      <c r="G150" s="46">
        <v>2</v>
      </c>
      <c r="H150" s="64">
        <v>74</v>
      </c>
      <c r="I150" s="64">
        <v>148.1</v>
      </c>
      <c r="J150" s="64">
        <v>1.81</v>
      </c>
      <c r="K150" s="64">
        <v>3.62</v>
      </c>
      <c r="L150" s="38"/>
    </row>
    <row r="151" s="4" customFormat="1" ht="24.95" customHeight="1" spans="1:12">
      <c r="A151" s="20">
        <v>145</v>
      </c>
      <c r="B151" s="38" t="s">
        <v>146</v>
      </c>
      <c r="C151" s="39" t="s">
        <v>244</v>
      </c>
      <c r="D151" s="39" t="s">
        <v>241</v>
      </c>
      <c r="E151" s="40">
        <v>8998</v>
      </c>
      <c r="F151" s="39" t="s">
        <v>93</v>
      </c>
      <c r="G151" s="46">
        <v>1</v>
      </c>
      <c r="H151" s="64">
        <v>1793</v>
      </c>
      <c r="I151" s="64">
        <v>1793</v>
      </c>
      <c r="J151" s="64">
        <v>25.46</v>
      </c>
      <c r="K151" s="64">
        <v>25.46</v>
      </c>
      <c r="L151" s="38"/>
    </row>
    <row r="152" s="4" customFormat="1" ht="24.95" customHeight="1" spans="1:12">
      <c r="A152" s="20">
        <v>146</v>
      </c>
      <c r="B152" s="38" t="s">
        <v>146</v>
      </c>
      <c r="C152" s="39" t="s">
        <v>245</v>
      </c>
      <c r="D152" s="39" t="s">
        <v>109</v>
      </c>
      <c r="E152" s="40">
        <v>2575</v>
      </c>
      <c r="F152" s="39" t="s">
        <v>93</v>
      </c>
      <c r="G152" s="46">
        <v>2</v>
      </c>
      <c r="H152" s="64">
        <v>125.5</v>
      </c>
      <c r="I152" s="64">
        <v>251</v>
      </c>
      <c r="J152" s="64">
        <v>3.06</v>
      </c>
      <c r="K152" s="64">
        <v>6.12</v>
      </c>
      <c r="L152" s="38"/>
    </row>
    <row r="153" s="4" customFormat="1" ht="24.95" customHeight="1" spans="1:12">
      <c r="A153" s="20">
        <v>147</v>
      </c>
      <c r="B153" s="38" t="s">
        <v>146</v>
      </c>
      <c r="C153" s="39" t="s">
        <v>246</v>
      </c>
      <c r="D153" s="39" t="s">
        <v>109</v>
      </c>
      <c r="E153" s="40">
        <v>1519</v>
      </c>
      <c r="F153" s="39" t="s">
        <v>93</v>
      </c>
      <c r="G153" s="46">
        <v>10</v>
      </c>
      <c r="H153" s="64">
        <v>74</v>
      </c>
      <c r="I153" s="64">
        <v>740.3</v>
      </c>
      <c r="J153" s="64">
        <v>1.81</v>
      </c>
      <c r="K153" s="64">
        <v>18.11</v>
      </c>
      <c r="L153" s="38"/>
    </row>
    <row r="154" s="4" customFormat="1" ht="24.95" customHeight="1" spans="1:12">
      <c r="A154" s="20">
        <v>148</v>
      </c>
      <c r="B154" s="38" t="s">
        <v>146</v>
      </c>
      <c r="C154" s="39" t="s">
        <v>247</v>
      </c>
      <c r="D154" s="39" t="s">
        <v>109</v>
      </c>
      <c r="E154" s="40">
        <v>2375</v>
      </c>
      <c r="F154" s="39" t="s">
        <v>93</v>
      </c>
      <c r="G154" s="46">
        <v>2</v>
      </c>
      <c r="H154" s="64">
        <v>115.7</v>
      </c>
      <c r="I154" s="64">
        <v>231.5</v>
      </c>
      <c r="J154" s="64">
        <v>2.82</v>
      </c>
      <c r="K154" s="64">
        <v>5.65</v>
      </c>
      <c r="L154" s="38"/>
    </row>
    <row r="155" s="4" customFormat="1" ht="24.95" customHeight="1" spans="1:12">
      <c r="A155" s="20">
        <v>149</v>
      </c>
      <c r="B155" s="38" t="s">
        <v>146</v>
      </c>
      <c r="C155" s="39" t="s">
        <v>248</v>
      </c>
      <c r="D155" s="39" t="s">
        <v>104</v>
      </c>
      <c r="E155" s="40">
        <v>2508</v>
      </c>
      <c r="F155" s="39" t="s">
        <v>93</v>
      </c>
      <c r="G155" s="46">
        <v>2</v>
      </c>
      <c r="H155" s="64">
        <v>123.9</v>
      </c>
      <c r="I155" s="64">
        <v>247.8</v>
      </c>
      <c r="J155" s="64">
        <v>3.52</v>
      </c>
      <c r="K155" s="64">
        <v>7.05</v>
      </c>
      <c r="L155" s="38"/>
    </row>
    <row r="156" s="4" customFormat="1" ht="24.95" customHeight="1" spans="1:12">
      <c r="A156" s="20">
        <v>150</v>
      </c>
      <c r="B156" s="38" t="s">
        <v>146</v>
      </c>
      <c r="C156" s="39" t="s">
        <v>249</v>
      </c>
      <c r="D156" s="39" t="s">
        <v>109</v>
      </c>
      <c r="E156" s="40">
        <v>1519</v>
      </c>
      <c r="F156" s="39" t="s">
        <v>93</v>
      </c>
      <c r="G156" s="46">
        <v>2</v>
      </c>
      <c r="H156" s="64">
        <v>74</v>
      </c>
      <c r="I156" s="64">
        <v>148.1</v>
      </c>
      <c r="J156" s="64">
        <v>1.81</v>
      </c>
      <c r="K156" s="64">
        <v>3.62</v>
      </c>
      <c r="L156" s="38"/>
    </row>
    <row r="157" s="4" customFormat="1" ht="24.95" customHeight="1" spans="1:12">
      <c r="A157" s="20">
        <v>151</v>
      </c>
      <c r="B157" s="38" t="s">
        <v>146</v>
      </c>
      <c r="C157" s="39" t="s">
        <v>250</v>
      </c>
      <c r="D157" s="39" t="s">
        <v>251</v>
      </c>
      <c r="E157" s="40">
        <v>1522.5</v>
      </c>
      <c r="F157" s="39" t="s">
        <v>93</v>
      </c>
      <c r="G157" s="46">
        <v>10</v>
      </c>
      <c r="H157" s="64">
        <v>68.7</v>
      </c>
      <c r="I157" s="64">
        <v>687.2</v>
      </c>
      <c r="J157" s="64">
        <v>2.16</v>
      </c>
      <c r="K157" s="64">
        <v>21.56</v>
      </c>
      <c r="L157" s="38"/>
    </row>
    <row r="158" s="4" customFormat="1" ht="24.95" customHeight="1" spans="1:12">
      <c r="A158" s="20">
        <v>152</v>
      </c>
      <c r="B158" s="38" t="s">
        <v>146</v>
      </c>
      <c r="C158" s="39" t="s">
        <v>252</v>
      </c>
      <c r="D158" s="39" t="s">
        <v>251</v>
      </c>
      <c r="E158" s="40">
        <v>2845</v>
      </c>
      <c r="F158" s="39" t="s">
        <v>93</v>
      </c>
      <c r="G158" s="46">
        <v>4</v>
      </c>
      <c r="H158" s="64">
        <v>127.7</v>
      </c>
      <c r="I158" s="64">
        <v>510.8</v>
      </c>
      <c r="J158" s="64">
        <v>3.99</v>
      </c>
      <c r="K158" s="64">
        <v>15.97</v>
      </c>
      <c r="L158" s="38"/>
    </row>
    <row r="159" s="4" customFormat="1" ht="24.95" customHeight="1" spans="1:12">
      <c r="A159" s="20">
        <v>153</v>
      </c>
      <c r="B159" s="38" t="s">
        <v>146</v>
      </c>
      <c r="C159" s="39" t="s">
        <v>253</v>
      </c>
      <c r="D159" s="39" t="s">
        <v>251</v>
      </c>
      <c r="E159" s="40">
        <v>6194</v>
      </c>
      <c r="F159" s="39" t="s">
        <v>93</v>
      </c>
      <c r="G159" s="46">
        <v>1</v>
      </c>
      <c r="H159" s="64">
        <v>291.4</v>
      </c>
      <c r="I159" s="64">
        <v>291.4</v>
      </c>
      <c r="J159" s="64">
        <v>9.04</v>
      </c>
      <c r="K159" s="64">
        <v>9.04</v>
      </c>
      <c r="L159" s="38"/>
    </row>
    <row r="160" s="4" customFormat="1" ht="24.95" customHeight="1" spans="1:12">
      <c r="A160" s="20">
        <v>154</v>
      </c>
      <c r="B160" s="38" t="s">
        <v>146</v>
      </c>
      <c r="C160" s="39" t="s">
        <v>254</v>
      </c>
      <c r="D160" s="39" t="s">
        <v>251</v>
      </c>
      <c r="E160" s="40">
        <v>6194</v>
      </c>
      <c r="F160" s="39" t="s">
        <v>93</v>
      </c>
      <c r="G160" s="46">
        <v>1</v>
      </c>
      <c r="H160" s="64">
        <v>278</v>
      </c>
      <c r="I160" s="64">
        <v>278</v>
      </c>
      <c r="J160" s="64">
        <v>8.68</v>
      </c>
      <c r="K160" s="64">
        <v>8.68</v>
      </c>
      <c r="L160" s="38"/>
    </row>
    <row r="161" s="4" customFormat="1" ht="24.95" customHeight="1" spans="1:12">
      <c r="A161" s="20">
        <v>155</v>
      </c>
      <c r="B161" s="38" t="s">
        <v>146</v>
      </c>
      <c r="C161" s="39" t="s">
        <v>255</v>
      </c>
      <c r="D161" s="39" t="s">
        <v>251</v>
      </c>
      <c r="E161" s="40">
        <v>6194</v>
      </c>
      <c r="F161" s="39" t="s">
        <v>93</v>
      </c>
      <c r="G161" s="46">
        <v>3</v>
      </c>
      <c r="H161" s="64">
        <v>278</v>
      </c>
      <c r="I161" s="64">
        <v>833.9</v>
      </c>
      <c r="J161" s="64">
        <v>8.68</v>
      </c>
      <c r="K161" s="64">
        <v>26.03</v>
      </c>
      <c r="L161" s="38"/>
    </row>
    <row r="162" s="4" customFormat="1" ht="24.95" customHeight="1" spans="1:12">
      <c r="A162" s="20">
        <v>156</v>
      </c>
      <c r="B162" s="38" t="s">
        <v>146</v>
      </c>
      <c r="C162" s="39" t="s">
        <v>256</v>
      </c>
      <c r="D162" s="39" t="s">
        <v>251</v>
      </c>
      <c r="E162" s="40">
        <v>2835</v>
      </c>
      <c r="F162" s="39" t="s">
        <v>93</v>
      </c>
      <c r="G162" s="46">
        <v>1</v>
      </c>
      <c r="H162" s="64">
        <v>128.2</v>
      </c>
      <c r="I162" s="64">
        <v>128.2</v>
      </c>
      <c r="J162" s="64">
        <v>4.01</v>
      </c>
      <c r="K162" s="64">
        <v>4.01</v>
      </c>
      <c r="L162" s="38"/>
    </row>
    <row r="163" s="4" customFormat="1" ht="24.95" customHeight="1" spans="1:12">
      <c r="A163" s="20">
        <v>157</v>
      </c>
      <c r="B163" s="38" t="s">
        <v>146</v>
      </c>
      <c r="C163" s="39" t="s">
        <v>257</v>
      </c>
      <c r="D163" s="39" t="s">
        <v>251</v>
      </c>
      <c r="E163" s="40">
        <v>2835</v>
      </c>
      <c r="F163" s="39" t="s">
        <v>93</v>
      </c>
      <c r="G163" s="46">
        <v>2</v>
      </c>
      <c r="H163" s="64">
        <v>128.2</v>
      </c>
      <c r="I163" s="64">
        <v>256.4</v>
      </c>
      <c r="J163" s="64">
        <v>4.01</v>
      </c>
      <c r="K163" s="64">
        <v>8.03</v>
      </c>
      <c r="L163" s="38"/>
    </row>
    <row r="164" s="4" customFormat="1" ht="24.95" customHeight="1" spans="1:12">
      <c r="A164" s="20">
        <v>158</v>
      </c>
      <c r="B164" s="38" t="s">
        <v>146</v>
      </c>
      <c r="C164" s="39" t="s">
        <v>258</v>
      </c>
      <c r="D164" s="39" t="s">
        <v>251</v>
      </c>
      <c r="E164" s="40">
        <v>2851</v>
      </c>
      <c r="F164" s="39" t="s">
        <v>93</v>
      </c>
      <c r="G164" s="46">
        <v>1</v>
      </c>
      <c r="H164" s="64">
        <v>128.5</v>
      </c>
      <c r="I164" s="64">
        <v>128.5</v>
      </c>
      <c r="J164" s="64">
        <v>4.02</v>
      </c>
      <c r="K164" s="64">
        <v>4.02</v>
      </c>
      <c r="L164" s="38"/>
    </row>
    <row r="165" s="4" customFormat="1" ht="24.95" customHeight="1" spans="1:12">
      <c r="A165" s="20">
        <v>159</v>
      </c>
      <c r="B165" s="38" t="s">
        <v>146</v>
      </c>
      <c r="C165" s="39" t="s">
        <v>259</v>
      </c>
      <c r="D165" s="39" t="s">
        <v>251</v>
      </c>
      <c r="E165" s="40">
        <v>2835</v>
      </c>
      <c r="F165" s="39" t="s">
        <v>93</v>
      </c>
      <c r="G165" s="46">
        <v>1</v>
      </c>
      <c r="H165" s="64">
        <v>131.5</v>
      </c>
      <c r="I165" s="64">
        <v>131.5</v>
      </c>
      <c r="J165" s="64">
        <v>4.1</v>
      </c>
      <c r="K165" s="64">
        <v>4.1</v>
      </c>
      <c r="L165" s="38"/>
    </row>
    <row r="166" s="4" customFormat="1" ht="24.95" customHeight="1" spans="1:12">
      <c r="A166" s="20">
        <v>160</v>
      </c>
      <c r="B166" s="38" t="s">
        <v>146</v>
      </c>
      <c r="C166" s="39" t="s">
        <v>260</v>
      </c>
      <c r="D166" s="39" t="s">
        <v>251</v>
      </c>
      <c r="E166" s="40">
        <v>2845</v>
      </c>
      <c r="F166" s="39" t="s">
        <v>93</v>
      </c>
      <c r="G166" s="46">
        <v>1</v>
      </c>
      <c r="H166" s="64">
        <v>131.9</v>
      </c>
      <c r="I166" s="64">
        <v>131.9</v>
      </c>
      <c r="J166" s="64">
        <v>4.11</v>
      </c>
      <c r="K166" s="64">
        <v>4.11</v>
      </c>
      <c r="L166" s="38"/>
    </row>
    <row r="167" s="4" customFormat="1" ht="24.95" customHeight="1" spans="1:12">
      <c r="A167" s="20">
        <v>161</v>
      </c>
      <c r="B167" s="38" t="s">
        <v>146</v>
      </c>
      <c r="C167" s="39" t="s">
        <v>261</v>
      </c>
      <c r="D167" s="39" t="s">
        <v>142</v>
      </c>
      <c r="E167" s="40">
        <v>2095</v>
      </c>
      <c r="F167" s="39" t="s">
        <v>93</v>
      </c>
      <c r="G167" s="46">
        <v>1</v>
      </c>
      <c r="H167" s="64">
        <v>203.5</v>
      </c>
      <c r="I167" s="64">
        <v>203.5</v>
      </c>
      <c r="J167" s="64">
        <v>4.27</v>
      </c>
      <c r="K167" s="64">
        <v>4.27</v>
      </c>
      <c r="L167" s="38"/>
    </row>
    <row r="168" s="4" customFormat="1" ht="24.95" customHeight="1" spans="1:12">
      <c r="A168" s="20">
        <v>162</v>
      </c>
      <c r="B168" s="38" t="s">
        <v>146</v>
      </c>
      <c r="C168" s="39" t="s">
        <v>262</v>
      </c>
      <c r="D168" s="39" t="s">
        <v>142</v>
      </c>
      <c r="E168" s="40">
        <v>2095</v>
      </c>
      <c r="F168" s="39" t="s">
        <v>93</v>
      </c>
      <c r="G168" s="46">
        <v>1</v>
      </c>
      <c r="H168" s="64">
        <v>203.5</v>
      </c>
      <c r="I168" s="64">
        <v>203.5</v>
      </c>
      <c r="J168" s="64">
        <v>4.27</v>
      </c>
      <c r="K168" s="64">
        <v>4.27</v>
      </c>
      <c r="L168" s="38"/>
    </row>
    <row r="169" s="4" customFormat="1" ht="24.95" customHeight="1" spans="1:12">
      <c r="A169" s="20">
        <v>163</v>
      </c>
      <c r="B169" s="38" t="s">
        <v>146</v>
      </c>
      <c r="C169" s="39" t="s">
        <v>263</v>
      </c>
      <c r="D169" s="39" t="s">
        <v>142</v>
      </c>
      <c r="E169" s="40">
        <v>2095</v>
      </c>
      <c r="F169" s="39" t="s">
        <v>93</v>
      </c>
      <c r="G169" s="46">
        <v>1</v>
      </c>
      <c r="H169" s="64">
        <v>200.9</v>
      </c>
      <c r="I169" s="64">
        <v>200.9</v>
      </c>
      <c r="J169" s="64">
        <v>4.21</v>
      </c>
      <c r="K169" s="64">
        <v>4.21</v>
      </c>
      <c r="L169" s="38"/>
    </row>
    <row r="170" s="4" customFormat="1" ht="24.95" customHeight="1" spans="1:12">
      <c r="A170" s="20">
        <v>164</v>
      </c>
      <c r="B170" s="38" t="s">
        <v>146</v>
      </c>
      <c r="C170" s="39" t="s">
        <v>264</v>
      </c>
      <c r="D170" s="39" t="s">
        <v>142</v>
      </c>
      <c r="E170" s="40">
        <v>2095</v>
      </c>
      <c r="F170" s="39" t="s">
        <v>93</v>
      </c>
      <c r="G170" s="46">
        <v>1</v>
      </c>
      <c r="H170" s="64">
        <v>200.9</v>
      </c>
      <c r="I170" s="64">
        <v>200.9</v>
      </c>
      <c r="J170" s="64">
        <v>4.21</v>
      </c>
      <c r="K170" s="64">
        <v>4.21</v>
      </c>
      <c r="L170" s="38"/>
    </row>
    <row r="171" s="4" customFormat="1" ht="24.95" customHeight="1" spans="1:12">
      <c r="A171" s="20">
        <v>165</v>
      </c>
      <c r="B171" s="38" t="s">
        <v>146</v>
      </c>
      <c r="C171" s="39" t="s">
        <v>265</v>
      </c>
      <c r="D171" s="39" t="s">
        <v>142</v>
      </c>
      <c r="E171" s="40">
        <v>2095</v>
      </c>
      <c r="F171" s="39" t="s">
        <v>93</v>
      </c>
      <c r="G171" s="46">
        <v>2</v>
      </c>
      <c r="H171" s="64">
        <v>200.9</v>
      </c>
      <c r="I171" s="64">
        <v>401.9</v>
      </c>
      <c r="J171" s="64">
        <v>4.21</v>
      </c>
      <c r="K171" s="64">
        <v>8.42</v>
      </c>
      <c r="L171" s="38"/>
    </row>
    <row r="172" s="4" customFormat="1" ht="24.95" customHeight="1" spans="1:12">
      <c r="A172" s="20">
        <v>166</v>
      </c>
      <c r="B172" s="38" t="s">
        <v>146</v>
      </c>
      <c r="C172" s="39" t="s">
        <v>266</v>
      </c>
      <c r="D172" s="39" t="s">
        <v>142</v>
      </c>
      <c r="E172" s="40">
        <v>2095</v>
      </c>
      <c r="F172" s="39" t="s">
        <v>93</v>
      </c>
      <c r="G172" s="46">
        <v>2</v>
      </c>
      <c r="H172" s="64">
        <v>200.9</v>
      </c>
      <c r="I172" s="64">
        <v>401.9</v>
      </c>
      <c r="J172" s="64">
        <v>4.21</v>
      </c>
      <c r="K172" s="64">
        <v>8.42</v>
      </c>
      <c r="L172" s="38"/>
    </row>
    <row r="173" s="4" customFormat="1" ht="24.95" customHeight="1" spans="1:12">
      <c r="A173" s="20">
        <v>167</v>
      </c>
      <c r="B173" s="38" t="s">
        <v>146</v>
      </c>
      <c r="C173" s="39" t="s">
        <v>267</v>
      </c>
      <c r="D173" s="39" t="s">
        <v>104</v>
      </c>
      <c r="E173" s="40">
        <v>2458</v>
      </c>
      <c r="F173" s="39" t="s">
        <v>93</v>
      </c>
      <c r="G173" s="46">
        <v>2</v>
      </c>
      <c r="H173" s="64">
        <v>121.5</v>
      </c>
      <c r="I173" s="64">
        <v>242.9</v>
      </c>
      <c r="J173" s="64">
        <v>3.46</v>
      </c>
      <c r="K173" s="64">
        <v>6.91</v>
      </c>
      <c r="L173" s="38"/>
    </row>
    <row r="174" s="4" customFormat="1" ht="24.95" customHeight="1" spans="1:12">
      <c r="A174" s="20">
        <v>168</v>
      </c>
      <c r="B174" s="38" t="s">
        <v>146</v>
      </c>
      <c r="C174" s="39" t="s">
        <v>268</v>
      </c>
      <c r="D174" s="39" t="s">
        <v>142</v>
      </c>
      <c r="E174" s="40">
        <v>2095</v>
      </c>
      <c r="F174" s="39" t="s">
        <v>93</v>
      </c>
      <c r="G174" s="46">
        <v>1</v>
      </c>
      <c r="H174" s="64">
        <v>203.5</v>
      </c>
      <c r="I174" s="64">
        <v>203.5</v>
      </c>
      <c r="J174" s="64">
        <v>4.27</v>
      </c>
      <c r="K174" s="64">
        <v>4.27</v>
      </c>
      <c r="L174" s="38"/>
    </row>
    <row r="175" s="4" customFormat="1" ht="24.95" customHeight="1" spans="1:12">
      <c r="A175" s="20">
        <v>169</v>
      </c>
      <c r="B175" s="38" t="s">
        <v>146</v>
      </c>
      <c r="C175" s="39" t="s">
        <v>269</v>
      </c>
      <c r="D175" s="39" t="s">
        <v>142</v>
      </c>
      <c r="E175" s="40">
        <v>2095</v>
      </c>
      <c r="F175" s="39" t="s">
        <v>93</v>
      </c>
      <c r="G175" s="46">
        <v>1</v>
      </c>
      <c r="H175" s="64">
        <v>200.9</v>
      </c>
      <c r="I175" s="64">
        <v>200.9</v>
      </c>
      <c r="J175" s="64">
        <v>4.21</v>
      </c>
      <c r="K175" s="64">
        <v>4.21</v>
      </c>
      <c r="L175" s="38"/>
    </row>
    <row r="176" s="4" customFormat="1" ht="24.95" customHeight="1" spans="1:12">
      <c r="A176" s="20">
        <v>170</v>
      </c>
      <c r="B176" s="38" t="s">
        <v>146</v>
      </c>
      <c r="C176" s="39" t="s">
        <v>270</v>
      </c>
      <c r="D176" s="39" t="s">
        <v>142</v>
      </c>
      <c r="E176" s="40">
        <v>2095</v>
      </c>
      <c r="F176" s="39" t="s">
        <v>93</v>
      </c>
      <c r="G176" s="46">
        <v>1</v>
      </c>
      <c r="H176" s="64">
        <v>200.9</v>
      </c>
      <c r="I176" s="64">
        <v>200.9</v>
      </c>
      <c r="J176" s="64">
        <v>4.21</v>
      </c>
      <c r="K176" s="64">
        <v>4.21</v>
      </c>
      <c r="L176" s="38"/>
    </row>
    <row r="177" s="4" customFormat="1" ht="24.95" customHeight="1" spans="1:12">
      <c r="A177" s="20">
        <v>171</v>
      </c>
      <c r="B177" s="38" t="s">
        <v>271</v>
      </c>
      <c r="C177" s="39" t="s">
        <v>272</v>
      </c>
      <c r="D177" s="39" t="s">
        <v>273</v>
      </c>
      <c r="E177" s="40">
        <v>11350</v>
      </c>
      <c r="F177" s="39" t="s">
        <v>93</v>
      </c>
      <c r="G177" s="46">
        <v>1</v>
      </c>
      <c r="H177" s="64">
        <v>3800.2</v>
      </c>
      <c r="I177" s="64">
        <v>3800.2</v>
      </c>
      <c r="J177" s="64">
        <v>51.16</v>
      </c>
      <c r="K177" s="64">
        <v>51.16</v>
      </c>
      <c r="L177" s="38"/>
    </row>
    <row r="178" s="4" customFormat="1" ht="24.95" customHeight="1" spans="1:12">
      <c r="A178" s="20">
        <v>172</v>
      </c>
      <c r="B178" s="38" t="s">
        <v>271</v>
      </c>
      <c r="C178" s="39" t="s">
        <v>274</v>
      </c>
      <c r="D178" s="39" t="s">
        <v>273</v>
      </c>
      <c r="E178" s="40">
        <v>11350</v>
      </c>
      <c r="F178" s="39" t="s">
        <v>93</v>
      </c>
      <c r="G178" s="46">
        <v>1</v>
      </c>
      <c r="H178" s="64">
        <v>3800.2</v>
      </c>
      <c r="I178" s="64">
        <v>3800.2</v>
      </c>
      <c r="J178" s="64">
        <v>51.16</v>
      </c>
      <c r="K178" s="64">
        <v>51.16</v>
      </c>
      <c r="L178" s="38"/>
    </row>
    <row r="179" s="4" customFormat="1" ht="24.95" customHeight="1" spans="1:12">
      <c r="A179" s="20">
        <v>173</v>
      </c>
      <c r="B179" s="38" t="s">
        <v>271</v>
      </c>
      <c r="C179" s="39" t="s">
        <v>275</v>
      </c>
      <c r="D179" s="39" t="s">
        <v>273</v>
      </c>
      <c r="E179" s="40">
        <v>11350</v>
      </c>
      <c r="F179" s="39" t="s">
        <v>93</v>
      </c>
      <c r="G179" s="46">
        <v>1</v>
      </c>
      <c r="H179" s="64">
        <v>3279.2</v>
      </c>
      <c r="I179" s="64">
        <v>3279.2</v>
      </c>
      <c r="J179" s="64">
        <v>40.77</v>
      </c>
      <c r="K179" s="64">
        <v>40.77</v>
      </c>
      <c r="L179" s="38"/>
    </row>
    <row r="180" s="4" customFormat="1" ht="24.95" customHeight="1" spans="1:12">
      <c r="A180" s="20">
        <v>174</v>
      </c>
      <c r="B180" s="38" t="s">
        <v>271</v>
      </c>
      <c r="C180" s="39" t="s">
        <v>276</v>
      </c>
      <c r="D180" s="39" t="s">
        <v>273</v>
      </c>
      <c r="E180" s="40">
        <v>11350</v>
      </c>
      <c r="F180" s="39" t="s">
        <v>93</v>
      </c>
      <c r="G180" s="46">
        <v>1</v>
      </c>
      <c r="H180" s="64">
        <v>3279.2</v>
      </c>
      <c r="I180" s="64">
        <v>3279.2</v>
      </c>
      <c r="J180" s="64">
        <v>40.77</v>
      </c>
      <c r="K180" s="64">
        <v>40.77</v>
      </c>
      <c r="L180" s="38"/>
    </row>
    <row r="181" s="4" customFormat="1" ht="24.95" customHeight="1" spans="1:12">
      <c r="A181" s="20">
        <v>175</v>
      </c>
      <c r="B181" s="38" t="s">
        <v>271</v>
      </c>
      <c r="C181" s="39" t="s">
        <v>277</v>
      </c>
      <c r="D181" s="39" t="s">
        <v>273</v>
      </c>
      <c r="E181" s="40">
        <v>10055</v>
      </c>
      <c r="F181" s="39" t="s">
        <v>93</v>
      </c>
      <c r="G181" s="46">
        <v>16</v>
      </c>
      <c r="H181" s="64">
        <v>2985.4</v>
      </c>
      <c r="I181" s="64">
        <v>47766.9</v>
      </c>
      <c r="J181" s="64">
        <v>37.82</v>
      </c>
      <c r="K181" s="64">
        <v>605.19</v>
      </c>
      <c r="L181" s="38"/>
    </row>
    <row r="182" s="4" customFormat="1" ht="24.95" customHeight="1" spans="1:12">
      <c r="A182" s="20">
        <v>176</v>
      </c>
      <c r="B182" s="38" t="s">
        <v>271</v>
      </c>
      <c r="C182" s="39" t="s">
        <v>278</v>
      </c>
      <c r="D182" s="39" t="s">
        <v>273</v>
      </c>
      <c r="E182" s="40">
        <v>10055</v>
      </c>
      <c r="F182" s="39" t="s">
        <v>93</v>
      </c>
      <c r="G182" s="46">
        <v>1</v>
      </c>
      <c r="H182" s="64">
        <v>3058</v>
      </c>
      <c r="I182" s="64">
        <v>3058</v>
      </c>
      <c r="J182" s="64">
        <v>39.57</v>
      </c>
      <c r="K182" s="64">
        <v>39.57</v>
      </c>
      <c r="L182" s="38"/>
    </row>
    <row r="183" s="4" customFormat="1" ht="24.95" customHeight="1" spans="1:12">
      <c r="A183" s="20">
        <v>177</v>
      </c>
      <c r="B183" s="38" t="s">
        <v>271</v>
      </c>
      <c r="C183" s="39" t="s">
        <v>279</v>
      </c>
      <c r="D183" s="39" t="s">
        <v>273</v>
      </c>
      <c r="E183" s="40">
        <v>10055</v>
      </c>
      <c r="F183" s="39" t="s">
        <v>93</v>
      </c>
      <c r="G183" s="46">
        <v>14</v>
      </c>
      <c r="H183" s="64">
        <v>3014.2</v>
      </c>
      <c r="I183" s="64">
        <v>42198.6</v>
      </c>
      <c r="J183" s="64">
        <v>38.65</v>
      </c>
      <c r="K183" s="64">
        <v>541.14</v>
      </c>
      <c r="L183" s="38"/>
    </row>
    <row r="184" s="4" customFormat="1" ht="24.95" customHeight="1" spans="1:12">
      <c r="A184" s="20">
        <v>178</v>
      </c>
      <c r="B184" s="38" t="s">
        <v>271</v>
      </c>
      <c r="C184" s="39" t="s">
        <v>280</v>
      </c>
      <c r="D184" s="39" t="s">
        <v>273</v>
      </c>
      <c r="E184" s="40">
        <v>10055</v>
      </c>
      <c r="F184" s="39" t="s">
        <v>93</v>
      </c>
      <c r="G184" s="46">
        <v>4</v>
      </c>
      <c r="H184" s="64">
        <v>3108.5</v>
      </c>
      <c r="I184" s="64">
        <v>12434</v>
      </c>
      <c r="J184" s="64">
        <v>40.46</v>
      </c>
      <c r="K184" s="64">
        <v>161.84</v>
      </c>
      <c r="L184" s="38"/>
    </row>
    <row r="185" s="4" customFormat="1" ht="24.95" customHeight="1" spans="1:12">
      <c r="A185" s="20">
        <v>179</v>
      </c>
      <c r="B185" s="38" t="s">
        <v>271</v>
      </c>
      <c r="C185" s="39" t="s">
        <v>281</v>
      </c>
      <c r="D185" s="39" t="s">
        <v>273</v>
      </c>
      <c r="E185" s="40">
        <v>10055</v>
      </c>
      <c r="F185" s="39" t="s">
        <v>93</v>
      </c>
      <c r="G185" s="46">
        <v>12</v>
      </c>
      <c r="H185" s="64">
        <v>3014.2</v>
      </c>
      <c r="I185" s="64">
        <v>36170.3</v>
      </c>
      <c r="J185" s="64">
        <v>38.65</v>
      </c>
      <c r="K185" s="64">
        <v>463.83</v>
      </c>
      <c r="L185" s="38"/>
    </row>
    <row r="186" s="4" customFormat="1" ht="24.95" customHeight="1" spans="1:12">
      <c r="A186" s="20">
        <v>180</v>
      </c>
      <c r="B186" s="38" t="s">
        <v>271</v>
      </c>
      <c r="C186" s="39" t="s">
        <v>282</v>
      </c>
      <c r="D186" s="39" t="s">
        <v>273</v>
      </c>
      <c r="E186" s="40">
        <v>11350</v>
      </c>
      <c r="F186" s="39" t="s">
        <v>93</v>
      </c>
      <c r="G186" s="46">
        <v>1</v>
      </c>
      <c r="H186" s="64">
        <v>3556.1</v>
      </c>
      <c r="I186" s="64">
        <v>3556.1</v>
      </c>
      <c r="J186" s="64">
        <v>47.03</v>
      </c>
      <c r="K186" s="64">
        <v>47.03</v>
      </c>
      <c r="L186" s="38"/>
    </row>
    <row r="187" s="4" customFormat="1" ht="24.95" customHeight="1" spans="1:12">
      <c r="A187" s="20">
        <v>181</v>
      </c>
      <c r="B187" s="38" t="s">
        <v>271</v>
      </c>
      <c r="C187" s="39" t="s">
        <v>283</v>
      </c>
      <c r="D187" s="39" t="s">
        <v>273</v>
      </c>
      <c r="E187" s="40">
        <v>11350</v>
      </c>
      <c r="F187" s="39" t="s">
        <v>93</v>
      </c>
      <c r="G187" s="46">
        <v>1</v>
      </c>
      <c r="H187" s="64">
        <v>3556.1</v>
      </c>
      <c r="I187" s="64">
        <v>3556.1</v>
      </c>
      <c r="J187" s="64">
        <v>47.03</v>
      </c>
      <c r="K187" s="64">
        <v>47.03</v>
      </c>
      <c r="L187" s="38"/>
    </row>
    <row r="188" s="4" customFormat="1" ht="24.95" customHeight="1" spans="1:12">
      <c r="A188" s="20">
        <v>182</v>
      </c>
      <c r="B188" s="38" t="s">
        <v>271</v>
      </c>
      <c r="C188" s="39" t="s">
        <v>284</v>
      </c>
      <c r="D188" s="39" t="s">
        <v>273</v>
      </c>
      <c r="E188" s="40">
        <v>10050</v>
      </c>
      <c r="F188" s="39" t="s">
        <v>93</v>
      </c>
      <c r="G188" s="46">
        <v>1</v>
      </c>
      <c r="H188" s="64">
        <v>2843.8</v>
      </c>
      <c r="I188" s="64">
        <v>2843.8</v>
      </c>
      <c r="J188" s="64">
        <v>35.51</v>
      </c>
      <c r="K188" s="64">
        <v>35.51</v>
      </c>
      <c r="L188" s="38"/>
    </row>
    <row r="189" s="4" customFormat="1" ht="24.95" customHeight="1" spans="1:12">
      <c r="A189" s="20">
        <v>183</v>
      </c>
      <c r="B189" s="38" t="s">
        <v>271</v>
      </c>
      <c r="C189" s="39" t="s">
        <v>285</v>
      </c>
      <c r="D189" s="39" t="s">
        <v>273</v>
      </c>
      <c r="E189" s="40">
        <v>10050</v>
      </c>
      <c r="F189" s="39" t="s">
        <v>93</v>
      </c>
      <c r="G189" s="46">
        <v>1</v>
      </c>
      <c r="H189" s="64">
        <v>2843.8</v>
      </c>
      <c r="I189" s="64">
        <v>2843.8</v>
      </c>
      <c r="J189" s="64">
        <v>35.51</v>
      </c>
      <c r="K189" s="64">
        <v>35.51</v>
      </c>
      <c r="L189" s="38"/>
    </row>
    <row r="190" s="4" customFormat="1" ht="24.95" customHeight="1" spans="1:12">
      <c r="A190" s="20">
        <v>184</v>
      </c>
      <c r="B190" s="38" t="s">
        <v>271</v>
      </c>
      <c r="C190" s="39" t="s">
        <v>286</v>
      </c>
      <c r="D190" s="39" t="s">
        <v>273</v>
      </c>
      <c r="E190" s="40">
        <v>10050</v>
      </c>
      <c r="F190" s="39" t="s">
        <v>93</v>
      </c>
      <c r="G190" s="46">
        <v>1</v>
      </c>
      <c r="H190" s="64">
        <v>2834.3</v>
      </c>
      <c r="I190" s="64">
        <v>2834.3</v>
      </c>
      <c r="J190" s="64">
        <v>35.29</v>
      </c>
      <c r="K190" s="64">
        <v>35.29</v>
      </c>
      <c r="L190" s="38"/>
    </row>
    <row r="191" s="4" customFormat="1" ht="24.95" customHeight="1" spans="1:12">
      <c r="A191" s="20">
        <v>185</v>
      </c>
      <c r="B191" s="38" t="s">
        <v>271</v>
      </c>
      <c r="C191" s="39" t="s">
        <v>287</v>
      </c>
      <c r="D191" s="39" t="s">
        <v>273</v>
      </c>
      <c r="E191" s="40">
        <v>10050</v>
      </c>
      <c r="F191" s="39" t="s">
        <v>93</v>
      </c>
      <c r="G191" s="46">
        <v>1</v>
      </c>
      <c r="H191" s="64">
        <v>2834.3</v>
      </c>
      <c r="I191" s="64">
        <v>2834.3</v>
      </c>
      <c r="J191" s="64">
        <v>35.29</v>
      </c>
      <c r="K191" s="64">
        <v>35.29</v>
      </c>
      <c r="L191" s="38"/>
    </row>
    <row r="192" s="4" customFormat="1" ht="24.95" customHeight="1" spans="1:12">
      <c r="A192" s="20">
        <v>186</v>
      </c>
      <c r="B192" s="38" t="s">
        <v>271</v>
      </c>
      <c r="C192" s="39" t="s">
        <v>288</v>
      </c>
      <c r="D192" s="39" t="s">
        <v>273</v>
      </c>
      <c r="E192" s="40">
        <v>10050</v>
      </c>
      <c r="F192" s="39" t="s">
        <v>93</v>
      </c>
      <c r="G192" s="46">
        <v>1</v>
      </c>
      <c r="H192" s="64">
        <v>2877.6</v>
      </c>
      <c r="I192" s="64">
        <v>2877.6</v>
      </c>
      <c r="J192" s="64">
        <v>36.2</v>
      </c>
      <c r="K192" s="64">
        <v>36.2</v>
      </c>
      <c r="L192" s="38"/>
    </row>
    <row r="193" s="4" customFormat="1" ht="24.95" customHeight="1" spans="1:12">
      <c r="A193" s="20">
        <v>187</v>
      </c>
      <c r="B193" s="38" t="s">
        <v>271</v>
      </c>
      <c r="C193" s="39" t="s">
        <v>289</v>
      </c>
      <c r="D193" s="39" t="s">
        <v>273</v>
      </c>
      <c r="E193" s="40">
        <v>11350</v>
      </c>
      <c r="F193" s="39" t="s">
        <v>93</v>
      </c>
      <c r="G193" s="46">
        <v>1</v>
      </c>
      <c r="H193" s="64">
        <v>3133.3</v>
      </c>
      <c r="I193" s="64">
        <v>3133.3</v>
      </c>
      <c r="J193" s="64">
        <v>38.48</v>
      </c>
      <c r="K193" s="64">
        <v>38.48</v>
      </c>
      <c r="L193" s="38"/>
    </row>
    <row r="194" s="4" customFormat="1" ht="24.95" customHeight="1" spans="1:12">
      <c r="A194" s="20">
        <v>188</v>
      </c>
      <c r="B194" s="38" t="s">
        <v>271</v>
      </c>
      <c r="C194" s="39" t="s">
        <v>290</v>
      </c>
      <c r="D194" s="39" t="s">
        <v>273</v>
      </c>
      <c r="E194" s="40">
        <v>11350</v>
      </c>
      <c r="F194" s="39" t="s">
        <v>93</v>
      </c>
      <c r="G194" s="46">
        <v>1</v>
      </c>
      <c r="H194" s="64">
        <v>3133.3</v>
      </c>
      <c r="I194" s="64">
        <v>3133.3</v>
      </c>
      <c r="J194" s="64">
        <v>38.48</v>
      </c>
      <c r="K194" s="64">
        <v>38.48</v>
      </c>
      <c r="L194" s="38"/>
    </row>
    <row r="195" s="4" customFormat="1" ht="24.95" customHeight="1" spans="1:12">
      <c r="A195" s="20">
        <v>189</v>
      </c>
      <c r="B195" s="38" t="s">
        <v>271</v>
      </c>
      <c r="C195" s="39" t="s">
        <v>291</v>
      </c>
      <c r="D195" s="39" t="s">
        <v>273</v>
      </c>
      <c r="E195" s="40">
        <v>10050</v>
      </c>
      <c r="F195" s="39" t="s">
        <v>93</v>
      </c>
      <c r="G195" s="46">
        <v>1</v>
      </c>
      <c r="H195" s="64">
        <v>2806.8</v>
      </c>
      <c r="I195" s="64">
        <v>2806.8</v>
      </c>
      <c r="J195" s="64">
        <v>34.51</v>
      </c>
      <c r="K195" s="64">
        <v>34.51</v>
      </c>
      <c r="L195" s="38"/>
    </row>
    <row r="196" s="4" customFormat="1" ht="24.95" customHeight="1" spans="1:12">
      <c r="A196" s="20">
        <v>190</v>
      </c>
      <c r="B196" s="38" t="s">
        <v>271</v>
      </c>
      <c r="C196" s="39" t="s">
        <v>292</v>
      </c>
      <c r="D196" s="39" t="s">
        <v>273</v>
      </c>
      <c r="E196" s="40">
        <v>10050</v>
      </c>
      <c r="F196" s="39" t="s">
        <v>93</v>
      </c>
      <c r="G196" s="46">
        <v>1</v>
      </c>
      <c r="H196" s="64">
        <v>2806.8</v>
      </c>
      <c r="I196" s="64">
        <v>2806.8</v>
      </c>
      <c r="J196" s="64">
        <v>34.51</v>
      </c>
      <c r="K196" s="64">
        <v>34.51</v>
      </c>
      <c r="L196" s="38"/>
    </row>
    <row r="197" s="4" customFormat="1" ht="24.95" customHeight="1" spans="1:12">
      <c r="A197" s="20">
        <v>191</v>
      </c>
      <c r="B197" s="38" t="s">
        <v>271</v>
      </c>
      <c r="C197" s="39" t="s">
        <v>293</v>
      </c>
      <c r="D197" s="39" t="s">
        <v>273</v>
      </c>
      <c r="E197" s="40">
        <v>17875</v>
      </c>
      <c r="F197" s="39" t="s">
        <v>93</v>
      </c>
      <c r="G197" s="46">
        <v>1</v>
      </c>
      <c r="H197" s="64">
        <v>5652.1</v>
      </c>
      <c r="I197" s="64">
        <v>5652.1</v>
      </c>
      <c r="J197" s="64">
        <v>77.04</v>
      </c>
      <c r="K197" s="64">
        <v>77.04</v>
      </c>
      <c r="L197" s="38"/>
    </row>
    <row r="198" s="4" customFormat="1" ht="24.95" customHeight="1" spans="1:12">
      <c r="A198" s="20">
        <v>192</v>
      </c>
      <c r="B198" s="38" t="s">
        <v>271</v>
      </c>
      <c r="C198" s="39" t="s">
        <v>294</v>
      </c>
      <c r="D198" s="39" t="s">
        <v>273</v>
      </c>
      <c r="E198" s="40">
        <v>17875</v>
      </c>
      <c r="F198" s="39" t="s">
        <v>93</v>
      </c>
      <c r="G198" s="46">
        <v>1</v>
      </c>
      <c r="H198" s="64">
        <v>5652.1</v>
      </c>
      <c r="I198" s="64">
        <v>5652.1</v>
      </c>
      <c r="J198" s="64">
        <v>77.04</v>
      </c>
      <c r="K198" s="64">
        <v>77.04</v>
      </c>
      <c r="L198" s="38"/>
    </row>
    <row r="199" s="4" customFormat="1" ht="24.95" customHeight="1" spans="1:12">
      <c r="A199" s="20">
        <v>193</v>
      </c>
      <c r="B199" s="38" t="s">
        <v>271</v>
      </c>
      <c r="C199" s="39" t="s">
        <v>295</v>
      </c>
      <c r="D199" s="39" t="s">
        <v>273</v>
      </c>
      <c r="E199" s="40">
        <v>17875</v>
      </c>
      <c r="F199" s="39" t="s">
        <v>93</v>
      </c>
      <c r="G199" s="46">
        <v>2</v>
      </c>
      <c r="H199" s="64">
        <v>5124.6</v>
      </c>
      <c r="I199" s="64">
        <v>10249.1</v>
      </c>
      <c r="J199" s="64">
        <v>68.49</v>
      </c>
      <c r="K199" s="64">
        <v>136.99</v>
      </c>
      <c r="L199" s="38"/>
    </row>
    <row r="200" s="4" customFormat="1" ht="24.95" customHeight="1" spans="1:12">
      <c r="A200" s="20">
        <v>194</v>
      </c>
      <c r="B200" s="38" t="s">
        <v>271</v>
      </c>
      <c r="C200" s="39" t="s">
        <v>296</v>
      </c>
      <c r="D200" s="39" t="s">
        <v>273</v>
      </c>
      <c r="E200" s="40">
        <v>17875</v>
      </c>
      <c r="F200" s="39" t="s">
        <v>93</v>
      </c>
      <c r="G200" s="46">
        <v>2</v>
      </c>
      <c r="H200" s="64">
        <v>5124.6</v>
      </c>
      <c r="I200" s="64">
        <v>10249.1</v>
      </c>
      <c r="J200" s="64">
        <v>68.49</v>
      </c>
      <c r="K200" s="64">
        <v>136.99</v>
      </c>
      <c r="L200" s="38"/>
    </row>
    <row r="201" s="4" customFormat="1" ht="24.95" customHeight="1" spans="1:12">
      <c r="A201" s="20">
        <v>195</v>
      </c>
      <c r="B201" s="38" t="s">
        <v>271</v>
      </c>
      <c r="C201" s="39" t="s">
        <v>297</v>
      </c>
      <c r="D201" s="39" t="s">
        <v>273</v>
      </c>
      <c r="E201" s="40">
        <v>11350</v>
      </c>
      <c r="F201" s="39" t="s">
        <v>93</v>
      </c>
      <c r="G201" s="46">
        <v>1</v>
      </c>
      <c r="H201" s="64">
        <v>3222.3</v>
      </c>
      <c r="I201" s="64">
        <v>3222.3</v>
      </c>
      <c r="J201" s="64">
        <v>41.69</v>
      </c>
      <c r="K201" s="64">
        <v>41.69</v>
      </c>
      <c r="L201" s="38"/>
    </row>
    <row r="202" s="4" customFormat="1" ht="24.95" customHeight="1" spans="1:12">
      <c r="A202" s="20">
        <v>196</v>
      </c>
      <c r="B202" s="38" t="s">
        <v>271</v>
      </c>
      <c r="C202" s="39" t="s">
        <v>298</v>
      </c>
      <c r="D202" s="39" t="s">
        <v>273</v>
      </c>
      <c r="E202" s="40">
        <v>11350</v>
      </c>
      <c r="F202" s="39" t="s">
        <v>93</v>
      </c>
      <c r="G202" s="46">
        <v>1</v>
      </c>
      <c r="H202" s="64">
        <v>3259.4</v>
      </c>
      <c r="I202" s="64">
        <v>3259.4</v>
      </c>
      <c r="J202" s="64">
        <v>43.21</v>
      </c>
      <c r="K202" s="64">
        <v>43.21</v>
      </c>
      <c r="L202" s="38"/>
    </row>
    <row r="203" s="4" customFormat="1" ht="24.95" customHeight="1" spans="1:12">
      <c r="A203" s="20">
        <v>197</v>
      </c>
      <c r="B203" s="38" t="s">
        <v>271</v>
      </c>
      <c r="C203" s="39" t="s">
        <v>299</v>
      </c>
      <c r="D203" s="39" t="s">
        <v>273</v>
      </c>
      <c r="E203" s="40">
        <v>11350</v>
      </c>
      <c r="F203" s="39" t="s">
        <v>93</v>
      </c>
      <c r="G203" s="46">
        <v>1</v>
      </c>
      <c r="H203" s="64">
        <v>3222.3</v>
      </c>
      <c r="I203" s="64">
        <v>3222.3</v>
      </c>
      <c r="J203" s="64">
        <v>41.69</v>
      </c>
      <c r="K203" s="64">
        <v>41.69</v>
      </c>
      <c r="L203" s="38"/>
    </row>
    <row r="204" s="4" customFormat="1" ht="24.95" customHeight="1" spans="1:12">
      <c r="A204" s="20">
        <v>198</v>
      </c>
      <c r="B204" s="38" t="s">
        <v>271</v>
      </c>
      <c r="C204" s="39" t="s">
        <v>300</v>
      </c>
      <c r="D204" s="39" t="s">
        <v>273</v>
      </c>
      <c r="E204" s="40">
        <v>11350</v>
      </c>
      <c r="F204" s="39" t="s">
        <v>93</v>
      </c>
      <c r="G204" s="46">
        <v>1</v>
      </c>
      <c r="H204" s="64">
        <v>3291.1</v>
      </c>
      <c r="I204" s="64">
        <v>3291.1</v>
      </c>
      <c r="J204" s="64">
        <v>43.66</v>
      </c>
      <c r="K204" s="64">
        <v>43.66</v>
      </c>
      <c r="L204" s="38"/>
    </row>
    <row r="205" s="4" customFormat="1" ht="24.95" customHeight="1" spans="1:12">
      <c r="A205" s="20">
        <v>199</v>
      </c>
      <c r="B205" s="38" t="s">
        <v>271</v>
      </c>
      <c r="C205" s="39" t="s">
        <v>301</v>
      </c>
      <c r="D205" s="39" t="s">
        <v>273</v>
      </c>
      <c r="E205" s="40">
        <v>17875</v>
      </c>
      <c r="F205" s="39" t="s">
        <v>93</v>
      </c>
      <c r="G205" s="46">
        <v>2</v>
      </c>
      <c r="H205" s="64">
        <v>4683.2</v>
      </c>
      <c r="I205" s="64">
        <v>9366.5</v>
      </c>
      <c r="J205" s="64">
        <v>59.63</v>
      </c>
      <c r="K205" s="64">
        <v>119.26</v>
      </c>
      <c r="L205" s="38"/>
    </row>
    <row r="206" s="4" customFormat="1" ht="24.95" customHeight="1" spans="1:12">
      <c r="A206" s="20">
        <v>200</v>
      </c>
      <c r="B206" s="38" t="s">
        <v>271</v>
      </c>
      <c r="C206" s="39" t="s">
        <v>302</v>
      </c>
      <c r="D206" s="39" t="s">
        <v>273</v>
      </c>
      <c r="E206" s="40">
        <v>17875</v>
      </c>
      <c r="F206" s="39" t="s">
        <v>93</v>
      </c>
      <c r="G206" s="46">
        <v>2</v>
      </c>
      <c r="H206" s="64">
        <v>4683.2</v>
      </c>
      <c r="I206" s="64">
        <v>9366.5</v>
      </c>
      <c r="J206" s="64">
        <v>59.63</v>
      </c>
      <c r="K206" s="64">
        <v>119.26</v>
      </c>
      <c r="L206" s="38"/>
    </row>
    <row r="207" s="4" customFormat="1" ht="24.95" customHeight="1" spans="1:12">
      <c r="A207" s="20">
        <v>201</v>
      </c>
      <c r="B207" s="38" t="s">
        <v>271</v>
      </c>
      <c r="C207" s="39" t="s">
        <v>303</v>
      </c>
      <c r="D207" s="39" t="s">
        <v>273</v>
      </c>
      <c r="E207" s="40">
        <v>10055</v>
      </c>
      <c r="F207" s="39" t="s">
        <v>93</v>
      </c>
      <c r="G207" s="46">
        <v>1</v>
      </c>
      <c r="H207" s="64">
        <v>3057.5</v>
      </c>
      <c r="I207" s="64">
        <v>3057.5</v>
      </c>
      <c r="J207" s="64">
        <v>39.56</v>
      </c>
      <c r="K207" s="64">
        <v>39.56</v>
      </c>
      <c r="L207" s="38"/>
    </row>
    <row r="208" s="4" customFormat="1" ht="24.95" customHeight="1" spans="1:12">
      <c r="A208" s="20">
        <v>202</v>
      </c>
      <c r="B208" s="38" t="s">
        <v>271</v>
      </c>
      <c r="C208" s="39" t="s">
        <v>304</v>
      </c>
      <c r="D208" s="39" t="s">
        <v>273</v>
      </c>
      <c r="E208" s="40">
        <v>12240</v>
      </c>
      <c r="F208" s="39" t="s">
        <v>93</v>
      </c>
      <c r="G208" s="46">
        <v>1</v>
      </c>
      <c r="H208" s="64">
        <v>3442.5</v>
      </c>
      <c r="I208" s="64">
        <v>3442.5</v>
      </c>
      <c r="J208" s="64">
        <v>44.71</v>
      </c>
      <c r="K208" s="64">
        <v>44.71</v>
      </c>
      <c r="L208" s="38"/>
    </row>
    <row r="209" s="4" customFormat="1" ht="24.95" customHeight="1" spans="1:12">
      <c r="A209" s="20">
        <v>203</v>
      </c>
      <c r="B209" s="38" t="s">
        <v>271</v>
      </c>
      <c r="C209" s="39" t="s">
        <v>305</v>
      </c>
      <c r="D209" s="39" t="s">
        <v>273</v>
      </c>
      <c r="E209" s="40">
        <v>12240</v>
      </c>
      <c r="F209" s="39" t="s">
        <v>93</v>
      </c>
      <c r="G209" s="46">
        <v>1</v>
      </c>
      <c r="H209" s="64">
        <v>3381.8</v>
      </c>
      <c r="I209" s="64">
        <v>3381.8</v>
      </c>
      <c r="J209" s="64">
        <v>43.97</v>
      </c>
      <c r="K209" s="64">
        <v>43.97</v>
      </c>
      <c r="L209" s="38"/>
    </row>
    <row r="210" s="4" customFormat="1" ht="24.95" customHeight="1" spans="1:12">
      <c r="A210" s="20">
        <v>204</v>
      </c>
      <c r="B210" s="38" t="s">
        <v>271</v>
      </c>
      <c r="C210" s="39" t="s">
        <v>306</v>
      </c>
      <c r="D210" s="39" t="s">
        <v>273</v>
      </c>
      <c r="E210" s="40">
        <v>12240</v>
      </c>
      <c r="F210" s="39" t="s">
        <v>93</v>
      </c>
      <c r="G210" s="46">
        <v>1</v>
      </c>
      <c r="H210" s="64">
        <v>3669.9</v>
      </c>
      <c r="I210" s="64">
        <v>3669.9</v>
      </c>
      <c r="J210" s="64">
        <v>47.81</v>
      </c>
      <c r="K210" s="64">
        <v>47.81</v>
      </c>
      <c r="L210" s="38"/>
    </row>
    <row r="211" s="4" customFormat="1" ht="24.95" customHeight="1" spans="1:12">
      <c r="A211" s="20">
        <v>205</v>
      </c>
      <c r="B211" s="38" t="s">
        <v>271</v>
      </c>
      <c r="C211" s="39" t="s">
        <v>307</v>
      </c>
      <c r="D211" s="39" t="s">
        <v>273</v>
      </c>
      <c r="E211" s="40">
        <v>16990</v>
      </c>
      <c r="F211" s="39" t="s">
        <v>93</v>
      </c>
      <c r="G211" s="46">
        <v>1</v>
      </c>
      <c r="H211" s="64">
        <v>4493</v>
      </c>
      <c r="I211" s="64">
        <v>4493</v>
      </c>
      <c r="J211" s="64">
        <v>59.74</v>
      </c>
      <c r="K211" s="64">
        <v>59.74</v>
      </c>
      <c r="L211" s="38"/>
    </row>
    <row r="212" s="4" customFormat="1" ht="24.95" customHeight="1" spans="1:12">
      <c r="A212" s="20">
        <v>206</v>
      </c>
      <c r="B212" s="38" t="s">
        <v>271</v>
      </c>
      <c r="C212" s="39" t="s">
        <v>308</v>
      </c>
      <c r="D212" s="39" t="s">
        <v>273</v>
      </c>
      <c r="E212" s="40">
        <v>12240</v>
      </c>
      <c r="F212" s="39" t="s">
        <v>93</v>
      </c>
      <c r="G212" s="46">
        <v>1</v>
      </c>
      <c r="H212" s="64">
        <v>3519.1</v>
      </c>
      <c r="I212" s="64">
        <v>3519.1</v>
      </c>
      <c r="J212" s="64">
        <v>45.45</v>
      </c>
      <c r="K212" s="64">
        <v>45.45</v>
      </c>
      <c r="L212" s="38"/>
    </row>
    <row r="213" s="4" customFormat="1" ht="24.95" customHeight="1" spans="1:12">
      <c r="A213" s="20">
        <v>207</v>
      </c>
      <c r="B213" s="38" t="s">
        <v>271</v>
      </c>
      <c r="C213" s="39" t="s">
        <v>309</v>
      </c>
      <c r="D213" s="39" t="s">
        <v>273</v>
      </c>
      <c r="E213" s="40">
        <v>16990</v>
      </c>
      <c r="F213" s="39" t="s">
        <v>93</v>
      </c>
      <c r="G213" s="46">
        <v>1</v>
      </c>
      <c r="H213" s="64">
        <v>4493</v>
      </c>
      <c r="I213" s="64">
        <v>4493</v>
      </c>
      <c r="J213" s="64">
        <v>59.74</v>
      </c>
      <c r="K213" s="64">
        <v>59.74</v>
      </c>
      <c r="L213" s="38"/>
    </row>
    <row r="214" s="4" customFormat="1" ht="24.95" customHeight="1" spans="1:12">
      <c r="A214" s="20">
        <v>208</v>
      </c>
      <c r="B214" s="38" t="s">
        <v>271</v>
      </c>
      <c r="C214" s="39" t="s">
        <v>310</v>
      </c>
      <c r="D214" s="39" t="s">
        <v>273</v>
      </c>
      <c r="E214" s="40">
        <v>16990</v>
      </c>
      <c r="F214" s="39" t="s">
        <v>93</v>
      </c>
      <c r="G214" s="46">
        <v>1</v>
      </c>
      <c r="H214" s="64">
        <v>4395.7</v>
      </c>
      <c r="I214" s="64">
        <v>4395.7</v>
      </c>
      <c r="J214" s="64">
        <v>56.99</v>
      </c>
      <c r="K214" s="64">
        <v>56.99</v>
      </c>
      <c r="L214" s="38"/>
    </row>
    <row r="215" s="4" customFormat="1" ht="24.95" customHeight="1" spans="1:12">
      <c r="A215" s="20">
        <v>209</v>
      </c>
      <c r="B215" s="38" t="s">
        <v>271</v>
      </c>
      <c r="C215" s="39" t="s">
        <v>311</v>
      </c>
      <c r="D215" s="39" t="s">
        <v>273</v>
      </c>
      <c r="E215" s="40">
        <v>16990</v>
      </c>
      <c r="F215" s="39" t="s">
        <v>93</v>
      </c>
      <c r="G215" s="46">
        <v>1</v>
      </c>
      <c r="H215" s="64">
        <v>4497.8</v>
      </c>
      <c r="I215" s="64">
        <v>4497.8</v>
      </c>
      <c r="J215" s="64">
        <v>59.75</v>
      </c>
      <c r="K215" s="64">
        <v>59.75</v>
      </c>
      <c r="L215" s="38"/>
    </row>
    <row r="216" s="4" customFormat="1" ht="24.95" customHeight="1" spans="1:12">
      <c r="A216" s="20">
        <v>210</v>
      </c>
      <c r="B216" s="38" t="s">
        <v>271</v>
      </c>
      <c r="C216" s="39" t="s">
        <v>312</v>
      </c>
      <c r="D216" s="39" t="s">
        <v>273</v>
      </c>
      <c r="E216" s="40">
        <v>17875</v>
      </c>
      <c r="F216" s="39" t="s">
        <v>93</v>
      </c>
      <c r="G216" s="46">
        <v>2</v>
      </c>
      <c r="H216" s="64">
        <v>5652.1</v>
      </c>
      <c r="I216" s="64">
        <v>11304.2</v>
      </c>
      <c r="J216" s="64">
        <v>77.04</v>
      </c>
      <c r="K216" s="64">
        <v>154.08</v>
      </c>
      <c r="L216" s="38"/>
    </row>
    <row r="217" s="4" customFormat="1" ht="24.95" customHeight="1" spans="1:12">
      <c r="A217" s="20">
        <v>211</v>
      </c>
      <c r="B217" s="38" t="s">
        <v>271</v>
      </c>
      <c r="C217" s="39" t="s">
        <v>313</v>
      </c>
      <c r="D217" s="39" t="s">
        <v>314</v>
      </c>
      <c r="E217" s="40">
        <v>16985</v>
      </c>
      <c r="F217" s="39" t="s">
        <v>93</v>
      </c>
      <c r="G217" s="46">
        <v>1</v>
      </c>
      <c r="H217" s="64">
        <v>3194.7</v>
      </c>
      <c r="I217" s="64">
        <v>3194.7</v>
      </c>
      <c r="J217" s="64">
        <v>42.88</v>
      </c>
      <c r="K217" s="64">
        <v>42.88</v>
      </c>
      <c r="L217" s="38"/>
    </row>
    <row r="218" s="4" customFormat="1" ht="24.95" customHeight="1" spans="1:12">
      <c r="A218" s="20">
        <v>212</v>
      </c>
      <c r="B218" s="38" t="s">
        <v>271</v>
      </c>
      <c r="C218" s="39" t="s">
        <v>315</v>
      </c>
      <c r="D218" s="39" t="s">
        <v>314</v>
      </c>
      <c r="E218" s="40">
        <v>12240</v>
      </c>
      <c r="F218" s="39" t="s">
        <v>93</v>
      </c>
      <c r="G218" s="46">
        <v>1</v>
      </c>
      <c r="H218" s="64">
        <v>2496</v>
      </c>
      <c r="I218" s="64">
        <v>2496</v>
      </c>
      <c r="J218" s="64">
        <v>34.4</v>
      </c>
      <c r="K218" s="64">
        <v>34.4</v>
      </c>
      <c r="L218" s="38"/>
    </row>
    <row r="219" s="4" customFormat="1" ht="24.95" customHeight="1" spans="1:12">
      <c r="A219" s="20">
        <v>213</v>
      </c>
      <c r="B219" s="38" t="s">
        <v>371</v>
      </c>
      <c r="C219" s="39" t="s">
        <v>372</v>
      </c>
      <c r="D219" s="39" t="s">
        <v>371</v>
      </c>
      <c r="E219" s="40">
        <v>2764.5</v>
      </c>
      <c r="F219" s="39" t="s">
        <v>373</v>
      </c>
      <c r="G219" s="46">
        <v>2</v>
      </c>
      <c r="H219" s="64">
        <v>175.9</v>
      </c>
      <c r="I219" s="64">
        <v>351.7</v>
      </c>
      <c r="J219" s="64">
        <v>8.83</v>
      </c>
      <c r="K219" s="64">
        <v>17.67</v>
      </c>
      <c r="L219" s="38"/>
    </row>
    <row r="220" s="4" customFormat="1" ht="24.95" customHeight="1" spans="1:12">
      <c r="A220" s="20">
        <v>214</v>
      </c>
      <c r="B220" s="38" t="s">
        <v>371</v>
      </c>
      <c r="C220" s="39" t="s">
        <v>374</v>
      </c>
      <c r="D220" s="39" t="s">
        <v>371</v>
      </c>
      <c r="E220" s="40">
        <v>2764.5</v>
      </c>
      <c r="F220" s="39" t="s">
        <v>373</v>
      </c>
      <c r="G220" s="46">
        <v>5</v>
      </c>
      <c r="H220" s="64">
        <v>175.7</v>
      </c>
      <c r="I220" s="64">
        <v>878.6</v>
      </c>
      <c r="J220" s="64">
        <v>8.83</v>
      </c>
      <c r="K220" s="64">
        <v>44.13</v>
      </c>
      <c r="L220" s="38"/>
    </row>
    <row r="221" s="4" customFormat="1" ht="24.95" customHeight="1" spans="1:12">
      <c r="A221" s="20">
        <v>215</v>
      </c>
      <c r="B221" s="38" t="s">
        <v>371</v>
      </c>
      <c r="C221" s="39" t="s">
        <v>375</v>
      </c>
      <c r="D221" s="39" t="s">
        <v>371</v>
      </c>
      <c r="E221" s="40">
        <v>2430</v>
      </c>
      <c r="F221" s="39" t="s">
        <v>373</v>
      </c>
      <c r="G221" s="46">
        <v>1</v>
      </c>
      <c r="H221" s="64">
        <v>317</v>
      </c>
      <c r="I221" s="64">
        <v>317</v>
      </c>
      <c r="J221" s="64">
        <v>15.87</v>
      </c>
      <c r="K221" s="64">
        <v>15.87</v>
      </c>
      <c r="L221" s="38"/>
    </row>
    <row r="222" s="4" customFormat="1" ht="24.95" customHeight="1" spans="1:12">
      <c r="A222" s="20">
        <v>216</v>
      </c>
      <c r="B222" s="38" t="s">
        <v>371</v>
      </c>
      <c r="C222" s="39" t="s">
        <v>376</v>
      </c>
      <c r="D222" s="39" t="s">
        <v>371</v>
      </c>
      <c r="E222" s="40">
        <v>1347.5</v>
      </c>
      <c r="F222" s="39" t="s">
        <v>373</v>
      </c>
      <c r="G222" s="46">
        <v>1</v>
      </c>
      <c r="H222" s="64">
        <v>185.7</v>
      </c>
      <c r="I222" s="64">
        <v>185.7</v>
      </c>
      <c r="J222" s="64">
        <v>9.31</v>
      </c>
      <c r="K222" s="64">
        <v>9.31</v>
      </c>
      <c r="L222" s="38"/>
    </row>
    <row r="223" s="4" customFormat="1" ht="24.95" customHeight="1" spans="1:12">
      <c r="A223" s="20">
        <v>217</v>
      </c>
      <c r="B223" s="38" t="s">
        <v>371</v>
      </c>
      <c r="C223" s="39" t="s">
        <v>377</v>
      </c>
      <c r="D223" s="39" t="s">
        <v>371</v>
      </c>
      <c r="E223" s="40">
        <v>1342.5</v>
      </c>
      <c r="F223" s="39" t="s">
        <v>373</v>
      </c>
      <c r="G223" s="46">
        <v>1</v>
      </c>
      <c r="H223" s="64">
        <v>168.1</v>
      </c>
      <c r="I223" s="64">
        <v>168.1</v>
      </c>
      <c r="J223" s="64">
        <v>8.42</v>
      </c>
      <c r="K223" s="64">
        <v>8.42</v>
      </c>
      <c r="L223" s="38"/>
    </row>
    <row r="224" s="4" customFormat="1" ht="24.95" customHeight="1" spans="1:12">
      <c r="A224" s="20">
        <v>218</v>
      </c>
      <c r="B224" s="38" t="s">
        <v>371</v>
      </c>
      <c r="C224" s="39" t="s">
        <v>378</v>
      </c>
      <c r="D224" s="39" t="s">
        <v>371</v>
      </c>
      <c r="E224" s="40">
        <v>1617.5</v>
      </c>
      <c r="F224" s="39" t="s">
        <v>373</v>
      </c>
      <c r="G224" s="46">
        <v>4</v>
      </c>
      <c r="H224" s="64">
        <v>223.6</v>
      </c>
      <c r="I224" s="64">
        <v>894.5</v>
      </c>
      <c r="J224" s="64">
        <v>11.2</v>
      </c>
      <c r="K224" s="64">
        <v>44.78</v>
      </c>
      <c r="L224" s="38"/>
    </row>
    <row r="225" s="4" customFormat="1" ht="24.95" customHeight="1" spans="1:12">
      <c r="A225" s="20">
        <v>219</v>
      </c>
      <c r="B225" s="38" t="s">
        <v>371</v>
      </c>
      <c r="C225" s="39" t="s">
        <v>379</v>
      </c>
      <c r="D225" s="39" t="s">
        <v>371</v>
      </c>
      <c r="E225" s="40">
        <v>1612.5</v>
      </c>
      <c r="F225" s="39" t="s">
        <v>373</v>
      </c>
      <c r="G225" s="46">
        <v>4</v>
      </c>
      <c r="H225" s="64">
        <v>206</v>
      </c>
      <c r="I225" s="64">
        <v>824</v>
      </c>
      <c r="J225" s="64">
        <v>10.31</v>
      </c>
      <c r="K225" s="64">
        <v>41.24</v>
      </c>
      <c r="L225" s="38"/>
    </row>
    <row r="226" s="4" customFormat="1" ht="24.95" customHeight="1" spans="1:12">
      <c r="A226" s="20">
        <v>220</v>
      </c>
      <c r="B226" s="38" t="s">
        <v>371</v>
      </c>
      <c r="C226" s="39" t="s">
        <v>380</v>
      </c>
      <c r="D226" s="39" t="s">
        <v>371</v>
      </c>
      <c r="E226" s="40">
        <v>795</v>
      </c>
      <c r="F226" s="39" t="s">
        <v>373</v>
      </c>
      <c r="G226" s="46">
        <v>29</v>
      </c>
      <c r="H226" s="64">
        <v>206.6</v>
      </c>
      <c r="I226" s="64">
        <v>5990.8</v>
      </c>
      <c r="J226" s="64">
        <v>10.52</v>
      </c>
      <c r="K226" s="64">
        <v>305.06</v>
      </c>
      <c r="L226" s="38"/>
    </row>
    <row r="227" s="4" customFormat="1" ht="24.95" customHeight="1" spans="1:12">
      <c r="A227" s="20">
        <v>221</v>
      </c>
      <c r="B227" s="38" t="s">
        <v>371</v>
      </c>
      <c r="C227" s="39" t="s">
        <v>381</v>
      </c>
      <c r="D227" s="39" t="s">
        <v>371</v>
      </c>
      <c r="E227" s="40">
        <v>795</v>
      </c>
      <c r="F227" s="39" t="s">
        <v>373</v>
      </c>
      <c r="G227" s="46">
        <v>1</v>
      </c>
      <c r="H227" s="64">
        <v>206.6</v>
      </c>
      <c r="I227" s="64">
        <v>206.6</v>
      </c>
      <c r="J227" s="64">
        <v>10.52</v>
      </c>
      <c r="K227" s="64">
        <v>10.52</v>
      </c>
      <c r="L227" s="38"/>
    </row>
    <row r="228" s="4" customFormat="1" ht="24.95" customHeight="1" spans="1:12">
      <c r="A228" s="20">
        <v>222</v>
      </c>
      <c r="B228" s="38" t="s">
        <v>371</v>
      </c>
      <c r="C228" s="39" t="s">
        <v>382</v>
      </c>
      <c r="D228" s="39" t="s">
        <v>371</v>
      </c>
      <c r="E228" s="40">
        <v>795</v>
      </c>
      <c r="F228" s="39" t="s">
        <v>373</v>
      </c>
      <c r="G228" s="46">
        <v>1</v>
      </c>
      <c r="H228" s="64">
        <v>206.6</v>
      </c>
      <c r="I228" s="64">
        <v>206.6</v>
      </c>
      <c r="J228" s="64">
        <v>10.52</v>
      </c>
      <c r="K228" s="64">
        <v>10.52</v>
      </c>
      <c r="L228" s="38"/>
    </row>
    <row r="229" s="4" customFormat="1" ht="24.95" customHeight="1" spans="1:12">
      <c r="A229" s="20">
        <v>223</v>
      </c>
      <c r="B229" s="38" t="s">
        <v>371</v>
      </c>
      <c r="C229" s="39" t="s">
        <v>383</v>
      </c>
      <c r="D229" s="39" t="s">
        <v>371</v>
      </c>
      <c r="E229" s="40">
        <v>795</v>
      </c>
      <c r="F229" s="39" t="s">
        <v>373</v>
      </c>
      <c r="G229" s="46">
        <v>1</v>
      </c>
      <c r="H229" s="64">
        <v>206.4</v>
      </c>
      <c r="I229" s="64">
        <v>206.4</v>
      </c>
      <c r="J229" s="64">
        <v>10.51</v>
      </c>
      <c r="K229" s="64">
        <v>10.51</v>
      </c>
      <c r="L229" s="38"/>
    </row>
    <row r="230" s="4" customFormat="1" ht="24.95" customHeight="1" spans="1:12">
      <c r="A230" s="20">
        <v>224</v>
      </c>
      <c r="B230" s="38" t="s">
        <v>371</v>
      </c>
      <c r="C230" s="39" t="s">
        <v>384</v>
      </c>
      <c r="D230" s="39" t="s">
        <v>371</v>
      </c>
      <c r="E230" s="40">
        <v>795</v>
      </c>
      <c r="F230" s="39" t="s">
        <v>373</v>
      </c>
      <c r="G230" s="46">
        <v>1</v>
      </c>
      <c r="H230" s="64">
        <v>204.9</v>
      </c>
      <c r="I230" s="64">
        <v>204.9</v>
      </c>
      <c r="J230" s="64">
        <v>10.44</v>
      </c>
      <c r="K230" s="64">
        <v>10.44</v>
      </c>
      <c r="L230" s="38"/>
    </row>
    <row r="231" s="4" customFormat="1" ht="24.95" customHeight="1" spans="1:12">
      <c r="A231" s="20">
        <v>225</v>
      </c>
      <c r="B231" s="38" t="s">
        <v>371</v>
      </c>
      <c r="C231" s="39" t="s">
        <v>385</v>
      </c>
      <c r="D231" s="39" t="s">
        <v>371</v>
      </c>
      <c r="E231" s="40">
        <v>795</v>
      </c>
      <c r="F231" s="39" t="s">
        <v>373</v>
      </c>
      <c r="G231" s="46">
        <v>1</v>
      </c>
      <c r="H231" s="64">
        <v>204.8</v>
      </c>
      <c r="I231" s="64">
        <v>204.8</v>
      </c>
      <c r="J231" s="64">
        <v>10.43</v>
      </c>
      <c r="K231" s="64">
        <v>10.43</v>
      </c>
      <c r="L231" s="38"/>
    </row>
    <row r="232" s="4" customFormat="1" ht="24.95" customHeight="1" spans="1:12">
      <c r="A232" s="20">
        <v>226</v>
      </c>
      <c r="B232" s="38" t="s">
        <v>371</v>
      </c>
      <c r="C232" s="39" t="s">
        <v>386</v>
      </c>
      <c r="D232" s="39" t="s">
        <v>371</v>
      </c>
      <c r="E232" s="40">
        <v>795</v>
      </c>
      <c r="F232" s="39" t="s">
        <v>373</v>
      </c>
      <c r="G232" s="46">
        <v>1</v>
      </c>
      <c r="H232" s="64">
        <v>204.8</v>
      </c>
      <c r="I232" s="64">
        <v>204.8</v>
      </c>
      <c r="J232" s="64">
        <v>10.43</v>
      </c>
      <c r="K232" s="64">
        <v>10.43</v>
      </c>
      <c r="L232" s="38"/>
    </row>
    <row r="233" s="4" customFormat="1" ht="24.95" customHeight="1" spans="1:12">
      <c r="A233" s="20">
        <v>227</v>
      </c>
      <c r="B233" s="38" t="s">
        <v>371</v>
      </c>
      <c r="C233" s="39" t="s">
        <v>387</v>
      </c>
      <c r="D233" s="39" t="s">
        <v>371</v>
      </c>
      <c r="E233" s="40">
        <v>795</v>
      </c>
      <c r="F233" s="39" t="s">
        <v>373</v>
      </c>
      <c r="G233" s="46">
        <v>1</v>
      </c>
      <c r="H233" s="64">
        <v>198.7</v>
      </c>
      <c r="I233" s="64">
        <v>198.7</v>
      </c>
      <c r="J233" s="64">
        <v>10.13</v>
      </c>
      <c r="K233" s="64">
        <v>10.13</v>
      </c>
      <c r="L233" s="38"/>
    </row>
    <row r="234" s="4" customFormat="1" ht="24.95" customHeight="1" spans="1:12">
      <c r="A234" s="20">
        <v>228</v>
      </c>
      <c r="B234" s="38" t="s">
        <v>371</v>
      </c>
      <c r="C234" s="39" t="s">
        <v>388</v>
      </c>
      <c r="D234" s="39" t="s">
        <v>371</v>
      </c>
      <c r="E234" s="40">
        <v>2715</v>
      </c>
      <c r="F234" s="39" t="s">
        <v>93</v>
      </c>
      <c r="G234" s="46">
        <v>2</v>
      </c>
      <c r="H234" s="64">
        <v>204.8</v>
      </c>
      <c r="I234" s="64">
        <v>409.6</v>
      </c>
      <c r="J234" s="64">
        <v>8.84</v>
      </c>
      <c r="K234" s="64">
        <v>17.68</v>
      </c>
      <c r="L234" s="38"/>
    </row>
    <row r="235" s="4" customFormat="1" ht="24.95" customHeight="1" spans="1:12">
      <c r="A235" s="20">
        <v>229</v>
      </c>
      <c r="B235" s="38" t="s">
        <v>371</v>
      </c>
      <c r="C235" s="39" t="s">
        <v>389</v>
      </c>
      <c r="D235" s="39" t="s">
        <v>371</v>
      </c>
      <c r="E235" s="40">
        <v>2665</v>
      </c>
      <c r="F235" s="39" t="s">
        <v>373</v>
      </c>
      <c r="G235" s="46">
        <v>2</v>
      </c>
      <c r="H235" s="64">
        <v>233</v>
      </c>
      <c r="I235" s="64">
        <v>466</v>
      </c>
      <c r="J235" s="64">
        <v>11.35</v>
      </c>
      <c r="K235" s="64">
        <v>22.7</v>
      </c>
      <c r="L235" s="38"/>
    </row>
    <row r="236" s="4" customFormat="1" ht="24.95" customHeight="1" spans="1:12">
      <c r="A236" s="20">
        <v>230</v>
      </c>
      <c r="B236" s="38" t="s">
        <v>371</v>
      </c>
      <c r="C236" s="39" t="s">
        <v>390</v>
      </c>
      <c r="D236" s="39" t="s">
        <v>371</v>
      </c>
      <c r="E236" s="40">
        <v>2715.2</v>
      </c>
      <c r="F236" s="39" t="s">
        <v>373</v>
      </c>
      <c r="G236" s="46">
        <v>10</v>
      </c>
      <c r="H236" s="64">
        <v>236.3</v>
      </c>
      <c r="I236" s="64">
        <v>2362.7</v>
      </c>
      <c r="J236" s="64">
        <v>11.51</v>
      </c>
      <c r="K236" s="64">
        <v>115.15</v>
      </c>
      <c r="L236" s="38"/>
    </row>
    <row r="237" s="4" customFormat="1" ht="24.95" customHeight="1" spans="1:12">
      <c r="A237" s="20">
        <v>231</v>
      </c>
      <c r="B237" s="38" t="s">
        <v>371</v>
      </c>
      <c r="C237" s="39" t="s">
        <v>391</v>
      </c>
      <c r="D237" s="39" t="s">
        <v>371</v>
      </c>
      <c r="E237" s="40">
        <v>2840</v>
      </c>
      <c r="F237" s="39" t="s">
        <v>373</v>
      </c>
      <c r="G237" s="46">
        <v>1</v>
      </c>
      <c r="H237" s="64">
        <v>340.2</v>
      </c>
      <c r="I237" s="64">
        <v>340.2</v>
      </c>
      <c r="J237" s="64">
        <v>16.47</v>
      </c>
      <c r="K237" s="64">
        <v>16.47</v>
      </c>
      <c r="L237" s="38"/>
    </row>
    <row r="238" s="4" customFormat="1" ht="24.95" customHeight="1" spans="1:12">
      <c r="A238" s="20">
        <v>232</v>
      </c>
      <c r="B238" s="38" t="s">
        <v>371</v>
      </c>
      <c r="C238" s="39" t="s">
        <v>392</v>
      </c>
      <c r="D238" s="39" t="s">
        <v>371</v>
      </c>
      <c r="E238" s="40">
        <v>2840</v>
      </c>
      <c r="F238" s="39" t="s">
        <v>373</v>
      </c>
      <c r="G238" s="46">
        <v>12</v>
      </c>
      <c r="H238" s="64">
        <v>335.9</v>
      </c>
      <c r="I238" s="64">
        <v>4030.5</v>
      </c>
      <c r="J238" s="64">
        <v>16.25</v>
      </c>
      <c r="K238" s="64">
        <v>194.97</v>
      </c>
      <c r="L238" s="38"/>
    </row>
    <row r="239" s="4" customFormat="1" ht="24.95" customHeight="1" spans="1:12">
      <c r="A239" s="20">
        <v>233</v>
      </c>
      <c r="B239" s="38" t="s">
        <v>371</v>
      </c>
      <c r="C239" s="39" t="s">
        <v>393</v>
      </c>
      <c r="D239" s="39" t="s">
        <v>371</v>
      </c>
      <c r="E239" s="40">
        <v>2840</v>
      </c>
      <c r="F239" s="39" t="s">
        <v>373</v>
      </c>
      <c r="G239" s="46">
        <v>1</v>
      </c>
      <c r="H239" s="64">
        <v>340.2</v>
      </c>
      <c r="I239" s="64">
        <v>340.2</v>
      </c>
      <c r="J239" s="64">
        <v>16.47</v>
      </c>
      <c r="K239" s="64">
        <v>16.47</v>
      </c>
      <c r="L239" s="38"/>
    </row>
    <row r="240" s="4" customFormat="1" ht="24.95" customHeight="1" spans="1:12">
      <c r="A240" s="20">
        <v>234</v>
      </c>
      <c r="B240" s="38" t="s">
        <v>421</v>
      </c>
      <c r="C240" s="39" t="s">
        <v>422</v>
      </c>
      <c r="D240" s="39" t="s">
        <v>423</v>
      </c>
      <c r="E240" s="40">
        <v>70</v>
      </c>
      <c r="F240" s="39" t="s">
        <v>93</v>
      </c>
      <c r="G240" s="46">
        <v>576</v>
      </c>
      <c r="H240" s="47">
        <v>0.8</v>
      </c>
      <c r="I240" s="47">
        <v>443.1</v>
      </c>
      <c r="J240" s="47">
        <v>0.02</v>
      </c>
      <c r="K240" s="47">
        <v>8.87</v>
      </c>
      <c r="L240" s="68" t="s">
        <v>424</v>
      </c>
    </row>
    <row r="241" s="4" customFormat="1" ht="24.95" customHeight="1" spans="1:12">
      <c r="A241" s="20">
        <v>235</v>
      </c>
      <c r="B241" s="38" t="s">
        <v>421</v>
      </c>
      <c r="C241" s="39" t="s">
        <v>425</v>
      </c>
      <c r="D241" s="39" t="s">
        <v>426</v>
      </c>
      <c r="E241" s="40">
        <v>385</v>
      </c>
      <c r="F241" s="39" t="s">
        <v>93</v>
      </c>
      <c r="G241" s="46">
        <v>112</v>
      </c>
      <c r="H241" s="47">
        <v>3.3</v>
      </c>
      <c r="I241" s="47">
        <v>365.6</v>
      </c>
      <c r="J241" s="47">
        <v>0.08</v>
      </c>
      <c r="K241" s="47">
        <v>9.04</v>
      </c>
      <c r="L241" s="69"/>
    </row>
    <row r="242" s="4" customFormat="1" ht="24.95" customHeight="1" spans="1:12">
      <c r="A242" s="20">
        <v>236</v>
      </c>
      <c r="B242" s="38" t="s">
        <v>421</v>
      </c>
      <c r="C242" s="39" t="s">
        <v>427</v>
      </c>
      <c r="D242" s="39" t="s">
        <v>428</v>
      </c>
      <c r="E242" s="40">
        <v>885</v>
      </c>
      <c r="F242" s="39" t="s">
        <v>93</v>
      </c>
      <c r="G242" s="46">
        <v>24</v>
      </c>
      <c r="H242" s="47">
        <v>38.5</v>
      </c>
      <c r="I242" s="47">
        <v>923</v>
      </c>
      <c r="J242" s="47">
        <v>0.65</v>
      </c>
      <c r="K242" s="47">
        <v>15.64</v>
      </c>
      <c r="L242" s="69"/>
    </row>
    <row r="243" s="4" customFormat="1" ht="24.95" customHeight="1" spans="1:12">
      <c r="A243" s="20">
        <v>237</v>
      </c>
      <c r="B243" s="38" t="s">
        <v>421</v>
      </c>
      <c r="C243" s="39" t="s">
        <v>429</v>
      </c>
      <c r="D243" s="39" t="s">
        <v>428</v>
      </c>
      <c r="E243" s="40">
        <v>885</v>
      </c>
      <c r="F243" s="39" t="s">
        <v>93</v>
      </c>
      <c r="G243" s="46">
        <v>10</v>
      </c>
      <c r="H243" s="47">
        <v>38.5</v>
      </c>
      <c r="I243" s="47">
        <v>384.6</v>
      </c>
      <c r="J243" s="47">
        <v>0.65</v>
      </c>
      <c r="K243" s="47">
        <v>6.52</v>
      </c>
      <c r="L243" s="69"/>
    </row>
    <row r="244" s="4" customFormat="1" ht="24.95" customHeight="1" spans="1:12">
      <c r="A244" s="20">
        <v>238</v>
      </c>
      <c r="B244" s="38" t="s">
        <v>421</v>
      </c>
      <c r="C244" s="39" t="s">
        <v>430</v>
      </c>
      <c r="D244" s="39" t="s">
        <v>431</v>
      </c>
      <c r="E244" s="40">
        <v>255</v>
      </c>
      <c r="F244" s="39" t="s">
        <v>93</v>
      </c>
      <c r="G244" s="46">
        <v>390</v>
      </c>
      <c r="H244" s="47">
        <v>0.4</v>
      </c>
      <c r="I244" s="47">
        <v>140.5</v>
      </c>
      <c r="J244" s="47">
        <v>0.02</v>
      </c>
      <c r="K244" s="47">
        <v>7.3</v>
      </c>
      <c r="L244" s="69"/>
    </row>
    <row r="245" s="4" customFormat="1" ht="24.95" customHeight="1" spans="1:12">
      <c r="A245" s="20">
        <v>239</v>
      </c>
      <c r="B245" s="38" t="s">
        <v>421</v>
      </c>
      <c r="C245" s="39" t="s">
        <v>432</v>
      </c>
      <c r="D245" s="39" t="s">
        <v>431</v>
      </c>
      <c r="E245" s="40">
        <v>290</v>
      </c>
      <c r="F245" s="39" t="s">
        <v>93</v>
      </c>
      <c r="G245" s="46">
        <v>130</v>
      </c>
      <c r="H245" s="47">
        <v>0.4</v>
      </c>
      <c r="I245" s="47">
        <v>53.3</v>
      </c>
      <c r="J245" s="47">
        <v>0.02</v>
      </c>
      <c r="K245" s="47">
        <v>2.76</v>
      </c>
      <c r="L245" s="69"/>
    </row>
    <row r="246" s="4" customFormat="1" ht="24.95" customHeight="1" spans="1:12">
      <c r="A246" s="20">
        <v>240</v>
      </c>
      <c r="B246" s="38" t="s">
        <v>421</v>
      </c>
      <c r="C246" s="39" t="s">
        <v>433</v>
      </c>
      <c r="D246" s="39" t="s">
        <v>431</v>
      </c>
      <c r="E246" s="40">
        <v>238</v>
      </c>
      <c r="F246" s="39" t="s">
        <v>93</v>
      </c>
      <c r="G246" s="46">
        <v>72</v>
      </c>
      <c r="H246" s="47">
        <v>0.3</v>
      </c>
      <c r="I246" s="47">
        <v>24.2</v>
      </c>
      <c r="J246" s="47">
        <v>0.02</v>
      </c>
      <c r="K246" s="47">
        <v>1.26</v>
      </c>
      <c r="L246" s="69"/>
    </row>
    <row r="247" s="4" customFormat="1" ht="24.95" customHeight="1" spans="1:12">
      <c r="A247" s="20">
        <v>241</v>
      </c>
      <c r="B247" s="38" t="s">
        <v>421</v>
      </c>
      <c r="C247" s="39" t="s">
        <v>434</v>
      </c>
      <c r="D247" s="39" t="s">
        <v>431</v>
      </c>
      <c r="E247" s="40">
        <v>270</v>
      </c>
      <c r="F247" s="39" t="s">
        <v>93</v>
      </c>
      <c r="G247" s="46">
        <v>168</v>
      </c>
      <c r="H247" s="47">
        <v>0.4</v>
      </c>
      <c r="I247" s="47">
        <v>64.1</v>
      </c>
      <c r="J247" s="47">
        <v>0.02</v>
      </c>
      <c r="K247" s="47">
        <v>3.33</v>
      </c>
      <c r="L247" s="69"/>
    </row>
    <row r="248" s="4" customFormat="1" ht="24.95" customHeight="1" spans="1:12">
      <c r="A248" s="20">
        <v>242</v>
      </c>
      <c r="B248" s="38" t="s">
        <v>421</v>
      </c>
      <c r="C248" s="39" t="s">
        <v>435</v>
      </c>
      <c r="D248" s="39" t="s">
        <v>436</v>
      </c>
      <c r="E248" s="40">
        <v>665</v>
      </c>
      <c r="F248" s="39" t="s">
        <v>93</v>
      </c>
      <c r="G248" s="46">
        <v>136</v>
      </c>
      <c r="H248" s="47">
        <v>7.5</v>
      </c>
      <c r="I248" s="47">
        <v>1022.3</v>
      </c>
      <c r="J248" s="47">
        <v>0.14</v>
      </c>
      <c r="K248" s="47">
        <v>19.56</v>
      </c>
      <c r="L248" s="69"/>
    </row>
    <row r="249" s="4" customFormat="1" ht="24.95" customHeight="1" spans="1:12">
      <c r="A249" s="20">
        <v>243</v>
      </c>
      <c r="B249" s="38" t="s">
        <v>421</v>
      </c>
      <c r="C249" s="39" t="s">
        <v>437</v>
      </c>
      <c r="D249" s="39" t="s">
        <v>431</v>
      </c>
      <c r="E249" s="40">
        <v>305</v>
      </c>
      <c r="F249" s="39" t="s">
        <v>93</v>
      </c>
      <c r="G249" s="46">
        <v>96</v>
      </c>
      <c r="H249" s="47">
        <v>0.4</v>
      </c>
      <c r="I249" s="47">
        <v>41.4</v>
      </c>
      <c r="J249" s="47">
        <v>0.02</v>
      </c>
      <c r="K249" s="47">
        <v>2.14</v>
      </c>
      <c r="L249" s="69"/>
    </row>
    <row r="250" s="4" customFormat="1" ht="24.95" customHeight="1" spans="1:12">
      <c r="A250" s="20">
        <v>244</v>
      </c>
      <c r="B250" s="38" t="s">
        <v>421</v>
      </c>
      <c r="C250" s="39" t="s">
        <v>438</v>
      </c>
      <c r="D250" s="39" t="s">
        <v>431</v>
      </c>
      <c r="E250" s="40">
        <v>220</v>
      </c>
      <c r="F250" s="39" t="s">
        <v>93</v>
      </c>
      <c r="G250" s="46">
        <v>312</v>
      </c>
      <c r="H250" s="47">
        <v>0.3</v>
      </c>
      <c r="I250" s="47">
        <v>97</v>
      </c>
      <c r="J250" s="47">
        <v>0.02</v>
      </c>
      <c r="K250" s="47">
        <v>5.05</v>
      </c>
      <c r="L250" s="69"/>
    </row>
    <row r="251" s="4" customFormat="1" ht="24.95" customHeight="1" spans="1:12">
      <c r="A251" s="20">
        <v>245</v>
      </c>
      <c r="B251" s="38" t="s">
        <v>421</v>
      </c>
      <c r="C251" s="39" t="s">
        <v>439</v>
      </c>
      <c r="D251" s="39" t="s">
        <v>431</v>
      </c>
      <c r="E251" s="40">
        <v>320</v>
      </c>
      <c r="F251" s="39" t="s">
        <v>93</v>
      </c>
      <c r="G251" s="46">
        <v>242</v>
      </c>
      <c r="H251" s="47">
        <v>0.5</v>
      </c>
      <c r="I251" s="47">
        <v>109.4</v>
      </c>
      <c r="J251" s="47">
        <v>0.02</v>
      </c>
      <c r="K251" s="47">
        <v>5.66</v>
      </c>
      <c r="L251" s="69"/>
    </row>
    <row r="252" s="4" customFormat="1" ht="24.95" customHeight="1" spans="1:12">
      <c r="A252" s="20">
        <v>246</v>
      </c>
      <c r="B252" s="38" t="s">
        <v>421</v>
      </c>
      <c r="C252" s="39" t="s">
        <v>440</v>
      </c>
      <c r="D252" s="39" t="s">
        <v>431</v>
      </c>
      <c r="E252" s="40">
        <v>390</v>
      </c>
      <c r="F252" s="39" t="s">
        <v>93</v>
      </c>
      <c r="G252" s="46">
        <v>128</v>
      </c>
      <c r="H252" s="47">
        <v>0.6</v>
      </c>
      <c r="I252" s="47">
        <v>70.5</v>
      </c>
      <c r="J252" s="47">
        <v>0.03</v>
      </c>
      <c r="K252" s="47">
        <v>3.64</v>
      </c>
      <c r="L252" s="69"/>
    </row>
    <row r="253" s="4" customFormat="1" ht="24.95" customHeight="1" spans="1:12">
      <c r="A253" s="20">
        <v>247</v>
      </c>
      <c r="B253" s="38" t="s">
        <v>421</v>
      </c>
      <c r="C253" s="39" t="s">
        <v>441</v>
      </c>
      <c r="D253" s="39" t="s">
        <v>431</v>
      </c>
      <c r="E253" s="40">
        <v>355</v>
      </c>
      <c r="F253" s="39" t="s">
        <v>93</v>
      </c>
      <c r="G253" s="46">
        <v>68</v>
      </c>
      <c r="H253" s="47">
        <v>0.5</v>
      </c>
      <c r="I253" s="47">
        <v>34.1</v>
      </c>
      <c r="J253" s="47">
        <v>0.03</v>
      </c>
      <c r="K253" s="47">
        <v>1.76</v>
      </c>
      <c r="L253" s="69"/>
    </row>
    <row r="254" s="4" customFormat="1" ht="24.95" customHeight="1" spans="1:12">
      <c r="A254" s="20">
        <v>248</v>
      </c>
      <c r="B254" s="38" t="s">
        <v>421</v>
      </c>
      <c r="C254" s="39" t="s">
        <v>442</v>
      </c>
      <c r="D254" s="39" t="s">
        <v>443</v>
      </c>
      <c r="E254" s="40">
        <v>370</v>
      </c>
      <c r="F254" s="39" t="s">
        <v>93</v>
      </c>
      <c r="G254" s="46">
        <v>24</v>
      </c>
      <c r="H254" s="47">
        <v>13.2</v>
      </c>
      <c r="I254" s="47">
        <v>317.2</v>
      </c>
      <c r="J254" s="47">
        <v>0.26</v>
      </c>
      <c r="K254" s="47">
        <v>6.24</v>
      </c>
      <c r="L254" s="69"/>
    </row>
    <row r="255" s="4" customFormat="1" ht="24.95" customHeight="1" spans="1:12">
      <c r="A255" s="20">
        <v>249</v>
      </c>
      <c r="B255" s="38" t="s">
        <v>421</v>
      </c>
      <c r="C255" s="39" t="s">
        <v>444</v>
      </c>
      <c r="D255" s="39" t="s">
        <v>445</v>
      </c>
      <c r="E255" s="40">
        <v>70</v>
      </c>
      <c r="F255" s="39" t="s">
        <v>93</v>
      </c>
      <c r="G255" s="46">
        <v>208</v>
      </c>
      <c r="H255" s="47">
        <v>0.5</v>
      </c>
      <c r="I255" s="47">
        <v>112</v>
      </c>
      <c r="J255" s="47">
        <v>0.01</v>
      </c>
      <c r="K255" s="47">
        <v>2.85</v>
      </c>
      <c r="L255" s="69"/>
    </row>
    <row r="256" s="4" customFormat="1" ht="24.95" customHeight="1" spans="1:12">
      <c r="A256" s="20">
        <v>250</v>
      </c>
      <c r="B256" s="38" t="s">
        <v>421</v>
      </c>
      <c r="C256" s="39" t="s">
        <v>446</v>
      </c>
      <c r="D256" s="39" t="s">
        <v>447</v>
      </c>
      <c r="E256" s="40">
        <v>325</v>
      </c>
      <c r="F256" s="39" t="s">
        <v>93</v>
      </c>
      <c r="G256" s="46">
        <v>56</v>
      </c>
      <c r="H256" s="47">
        <v>2.9</v>
      </c>
      <c r="I256" s="47">
        <v>160</v>
      </c>
      <c r="J256" s="47">
        <v>0.1</v>
      </c>
      <c r="K256" s="47">
        <v>5.51</v>
      </c>
      <c r="L256" s="69"/>
    </row>
    <row r="257" s="4" customFormat="1" ht="24.95" customHeight="1" spans="1:12">
      <c r="A257" s="20">
        <v>251</v>
      </c>
      <c r="B257" s="38" t="s">
        <v>421</v>
      </c>
      <c r="C257" s="39" t="s">
        <v>448</v>
      </c>
      <c r="D257" s="39" t="s">
        <v>449</v>
      </c>
      <c r="E257" s="40">
        <v>385</v>
      </c>
      <c r="F257" s="39" t="s">
        <v>93</v>
      </c>
      <c r="G257" s="46">
        <v>56</v>
      </c>
      <c r="H257" s="47">
        <v>4.6</v>
      </c>
      <c r="I257" s="47">
        <v>257.3</v>
      </c>
      <c r="J257" s="47">
        <v>0.16</v>
      </c>
      <c r="K257" s="47">
        <v>8.71</v>
      </c>
      <c r="L257" s="69"/>
    </row>
    <row r="258" s="4" customFormat="1" ht="24.95" customHeight="1" spans="1:12">
      <c r="A258" s="20">
        <v>252</v>
      </c>
      <c r="B258" s="38" t="s">
        <v>421</v>
      </c>
      <c r="C258" s="39" t="s">
        <v>450</v>
      </c>
      <c r="D258" s="39" t="s">
        <v>431</v>
      </c>
      <c r="E258" s="40">
        <v>220</v>
      </c>
      <c r="F258" s="39" t="s">
        <v>93</v>
      </c>
      <c r="G258" s="46">
        <v>52</v>
      </c>
      <c r="H258" s="47">
        <v>0.3</v>
      </c>
      <c r="I258" s="47">
        <v>16.2</v>
      </c>
      <c r="J258" s="47">
        <v>0.02</v>
      </c>
      <c r="K258" s="47">
        <v>0.84</v>
      </c>
      <c r="L258" s="69"/>
    </row>
    <row r="259" s="4" customFormat="1" ht="24.95" customHeight="1" spans="1:12">
      <c r="A259" s="20">
        <v>253</v>
      </c>
      <c r="B259" s="38" t="s">
        <v>421</v>
      </c>
      <c r="C259" s="39" t="s">
        <v>451</v>
      </c>
      <c r="D259" s="39" t="s">
        <v>431</v>
      </c>
      <c r="E259" s="40">
        <v>485</v>
      </c>
      <c r="F259" s="39" t="s">
        <v>93</v>
      </c>
      <c r="G259" s="46">
        <v>32</v>
      </c>
      <c r="H259" s="47">
        <v>0.7</v>
      </c>
      <c r="I259" s="47">
        <v>21.9</v>
      </c>
      <c r="J259" s="47">
        <v>0.04</v>
      </c>
      <c r="K259" s="47">
        <v>1.13</v>
      </c>
      <c r="L259" s="69"/>
    </row>
    <row r="260" s="4" customFormat="1" ht="24.95" customHeight="1" spans="1:12">
      <c r="A260" s="20">
        <v>254</v>
      </c>
      <c r="B260" s="38" t="s">
        <v>421</v>
      </c>
      <c r="C260" s="39" t="s">
        <v>452</v>
      </c>
      <c r="D260" s="39" t="s">
        <v>431</v>
      </c>
      <c r="E260" s="40">
        <v>440</v>
      </c>
      <c r="F260" s="39" t="s">
        <v>93</v>
      </c>
      <c r="G260" s="46">
        <v>5</v>
      </c>
      <c r="H260" s="47">
        <v>0.6</v>
      </c>
      <c r="I260" s="47">
        <v>3.1</v>
      </c>
      <c r="J260" s="47">
        <v>0.03</v>
      </c>
      <c r="K260" s="47">
        <v>0.16</v>
      </c>
      <c r="L260" s="69"/>
    </row>
    <row r="261" s="4" customFormat="1" ht="24.95" customHeight="1" spans="1:12">
      <c r="A261" s="20">
        <v>255</v>
      </c>
      <c r="B261" s="38" t="s">
        <v>421</v>
      </c>
      <c r="C261" s="39" t="s">
        <v>453</v>
      </c>
      <c r="D261" s="39" t="s">
        <v>431</v>
      </c>
      <c r="E261" s="40">
        <v>320</v>
      </c>
      <c r="F261" s="39" t="s">
        <v>93</v>
      </c>
      <c r="G261" s="46">
        <v>2</v>
      </c>
      <c r="H261" s="47">
        <v>0.5</v>
      </c>
      <c r="I261" s="47">
        <v>0.9</v>
      </c>
      <c r="J261" s="47">
        <v>0.02</v>
      </c>
      <c r="K261" s="47">
        <v>0.05</v>
      </c>
      <c r="L261" s="69"/>
    </row>
    <row r="262" s="4" customFormat="1" ht="24.95" customHeight="1" spans="1:12">
      <c r="A262" s="20">
        <v>256</v>
      </c>
      <c r="B262" s="38" t="s">
        <v>421</v>
      </c>
      <c r="C262" s="39" t="s">
        <v>454</v>
      </c>
      <c r="D262" s="39" t="s">
        <v>431</v>
      </c>
      <c r="E262" s="40">
        <v>235</v>
      </c>
      <c r="F262" s="39" t="s">
        <v>93</v>
      </c>
      <c r="G262" s="46">
        <v>106</v>
      </c>
      <c r="H262" s="47">
        <v>0.3</v>
      </c>
      <c r="I262" s="47">
        <v>31.8</v>
      </c>
      <c r="J262" s="47">
        <v>0.02</v>
      </c>
      <c r="K262" s="47">
        <v>2.12</v>
      </c>
      <c r="L262" s="69"/>
    </row>
    <row r="263" s="4" customFormat="1" ht="24.95" customHeight="1" spans="1:12">
      <c r="A263" s="20">
        <v>257</v>
      </c>
      <c r="B263" s="38" t="s">
        <v>421</v>
      </c>
      <c r="C263" s="39" t="s">
        <v>455</v>
      </c>
      <c r="D263" s="39" t="s">
        <v>431</v>
      </c>
      <c r="E263" s="40">
        <v>270</v>
      </c>
      <c r="F263" s="39" t="s">
        <v>93</v>
      </c>
      <c r="G263" s="46">
        <v>4</v>
      </c>
      <c r="H263" s="47">
        <v>0.4</v>
      </c>
      <c r="I263" s="47">
        <v>1.5</v>
      </c>
      <c r="J263" s="47">
        <v>0.02</v>
      </c>
      <c r="K263" s="47">
        <v>0.08</v>
      </c>
      <c r="L263" s="69"/>
    </row>
    <row r="264" s="4" customFormat="1" ht="24.95" customHeight="1" spans="1:12">
      <c r="A264" s="20">
        <v>258</v>
      </c>
      <c r="B264" s="38" t="s">
        <v>421</v>
      </c>
      <c r="C264" s="39" t="s">
        <v>456</v>
      </c>
      <c r="D264" s="39" t="s">
        <v>431</v>
      </c>
      <c r="E264" s="40">
        <v>200</v>
      </c>
      <c r="F264" s="39" t="s">
        <v>93</v>
      </c>
      <c r="G264" s="46">
        <v>2</v>
      </c>
      <c r="H264" s="47">
        <v>0.3</v>
      </c>
      <c r="I264" s="47">
        <v>0.6</v>
      </c>
      <c r="J264" s="47">
        <v>0.01</v>
      </c>
      <c r="K264" s="47">
        <v>0.03</v>
      </c>
      <c r="L264" s="71"/>
    </row>
    <row r="265" s="4" customFormat="1" ht="24.95" customHeight="1" spans="1:12">
      <c r="A265" s="20">
        <v>259</v>
      </c>
      <c r="B265" s="38" t="s">
        <v>480</v>
      </c>
      <c r="C265" s="39" t="s">
        <v>481</v>
      </c>
      <c r="D265" s="39" t="s">
        <v>482</v>
      </c>
      <c r="E265" s="40">
        <v>2430</v>
      </c>
      <c r="F265" s="39" t="s">
        <v>93</v>
      </c>
      <c r="G265" s="46">
        <v>1</v>
      </c>
      <c r="H265" s="64">
        <v>103.8</v>
      </c>
      <c r="I265" s="64">
        <v>103.8</v>
      </c>
      <c r="J265" s="64">
        <v>3.41</v>
      </c>
      <c r="K265" s="64">
        <v>3.41</v>
      </c>
      <c r="L265" s="38"/>
    </row>
    <row r="266" s="4" customFormat="1" ht="24.95" customHeight="1" spans="1:12">
      <c r="A266" s="20">
        <v>260</v>
      </c>
      <c r="B266" s="38" t="s">
        <v>480</v>
      </c>
      <c r="C266" s="39" t="s">
        <v>483</v>
      </c>
      <c r="D266" s="39" t="s">
        <v>482</v>
      </c>
      <c r="E266" s="40">
        <v>2430</v>
      </c>
      <c r="F266" s="39" t="s">
        <v>93</v>
      </c>
      <c r="G266" s="46">
        <v>1</v>
      </c>
      <c r="H266" s="64">
        <v>103.8</v>
      </c>
      <c r="I266" s="64">
        <v>103.8</v>
      </c>
      <c r="J266" s="64">
        <v>3.41</v>
      </c>
      <c r="K266" s="64">
        <v>3.41</v>
      </c>
      <c r="L266" s="38"/>
    </row>
    <row r="267" s="4" customFormat="1" ht="24.95" customHeight="1" spans="1:12">
      <c r="A267" s="20">
        <v>261</v>
      </c>
      <c r="B267" s="38" t="s">
        <v>480</v>
      </c>
      <c r="C267" s="39" t="s">
        <v>484</v>
      </c>
      <c r="D267" s="39" t="s">
        <v>482</v>
      </c>
      <c r="E267" s="40">
        <v>2430</v>
      </c>
      <c r="F267" s="39" t="s">
        <v>93</v>
      </c>
      <c r="G267" s="46">
        <v>3</v>
      </c>
      <c r="H267" s="64">
        <v>103.8</v>
      </c>
      <c r="I267" s="64">
        <v>311.5</v>
      </c>
      <c r="J267" s="64">
        <v>3.41</v>
      </c>
      <c r="K267" s="64">
        <v>10.22</v>
      </c>
      <c r="L267" s="38"/>
    </row>
    <row r="268" s="4" customFormat="1" ht="24.95" customHeight="1" spans="1:12">
      <c r="A268" s="20">
        <v>262</v>
      </c>
      <c r="B268" s="38" t="s">
        <v>480</v>
      </c>
      <c r="C268" s="39" t="s">
        <v>485</v>
      </c>
      <c r="D268" s="39" t="s">
        <v>482</v>
      </c>
      <c r="E268" s="40">
        <v>2430</v>
      </c>
      <c r="F268" s="39" t="s">
        <v>93</v>
      </c>
      <c r="G268" s="46">
        <v>3</v>
      </c>
      <c r="H268" s="64">
        <v>103.8</v>
      </c>
      <c r="I268" s="64">
        <v>311.5</v>
      </c>
      <c r="J268" s="64">
        <v>3.41</v>
      </c>
      <c r="K268" s="64">
        <v>10.22</v>
      </c>
      <c r="L268" s="38"/>
    </row>
    <row r="269" s="4" customFormat="1" ht="24.95" customHeight="1" spans="1:12">
      <c r="A269" s="20">
        <v>263</v>
      </c>
      <c r="B269" s="38" t="s">
        <v>480</v>
      </c>
      <c r="C269" s="39" t="s">
        <v>486</v>
      </c>
      <c r="D269" s="39" t="s">
        <v>482</v>
      </c>
      <c r="E269" s="40">
        <v>1840</v>
      </c>
      <c r="F269" s="39" t="s">
        <v>93</v>
      </c>
      <c r="G269" s="46">
        <v>4</v>
      </c>
      <c r="H269" s="64">
        <v>75.7</v>
      </c>
      <c r="I269" s="64">
        <v>302.7</v>
      </c>
      <c r="J269" s="64">
        <v>2.48</v>
      </c>
      <c r="K269" s="64">
        <v>9.93</v>
      </c>
      <c r="L269" s="38"/>
    </row>
    <row r="270" s="4" customFormat="1" ht="24.95" customHeight="1" spans="1:12">
      <c r="A270" s="20">
        <v>264</v>
      </c>
      <c r="B270" s="38" t="s">
        <v>480</v>
      </c>
      <c r="C270" s="39" t="s">
        <v>487</v>
      </c>
      <c r="D270" s="39" t="s">
        <v>482</v>
      </c>
      <c r="E270" s="40">
        <v>1840</v>
      </c>
      <c r="F270" s="39" t="s">
        <v>93</v>
      </c>
      <c r="G270" s="46">
        <v>4</v>
      </c>
      <c r="H270" s="64">
        <v>75.7</v>
      </c>
      <c r="I270" s="64">
        <v>302.7</v>
      </c>
      <c r="J270" s="64">
        <v>2.48</v>
      </c>
      <c r="K270" s="64">
        <v>9.93</v>
      </c>
      <c r="L270" s="38"/>
    </row>
    <row r="271" s="4" customFormat="1" ht="24.95" customHeight="1" spans="1:12">
      <c r="A271" s="20">
        <v>265</v>
      </c>
      <c r="B271" s="38" t="s">
        <v>480</v>
      </c>
      <c r="C271" s="39" t="s">
        <v>488</v>
      </c>
      <c r="D271" s="39" t="s">
        <v>482</v>
      </c>
      <c r="E271" s="40">
        <v>2430</v>
      </c>
      <c r="F271" s="39" t="s">
        <v>93</v>
      </c>
      <c r="G271" s="46">
        <v>1</v>
      </c>
      <c r="H271" s="64">
        <v>103.8</v>
      </c>
      <c r="I271" s="64">
        <v>103.8</v>
      </c>
      <c r="J271" s="64">
        <v>3.41</v>
      </c>
      <c r="K271" s="64">
        <v>3.41</v>
      </c>
      <c r="L271" s="38"/>
    </row>
    <row r="272" s="4" customFormat="1" ht="24.95" customHeight="1" spans="1:12">
      <c r="A272" s="20">
        <v>266</v>
      </c>
      <c r="B272" s="38" t="s">
        <v>480</v>
      </c>
      <c r="C272" s="39" t="s">
        <v>489</v>
      </c>
      <c r="D272" s="39" t="s">
        <v>482</v>
      </c>
      <c r="E272" s="40">
        <v>2430</v>
      </c>
      <c r="F272" s="39" t="s">
        <v>93</v>
      </c>
      <c r="G272" s="46">
        <v>1</v>
      </c>
      <c r="H272" s="64">
        <v>103.8</v>
      </c>
      <c r="I272" s="64">
        <v>103.8</v>
      </c>
      <c r="J272" s="64">
        <v>3.41</v>
      </c>
      <c r="K272" s="64">
        <v>3.41</v>
      </c>
      <c r="L272" s="38"/>
    </row>
    <row r="273" s="4" customFormat="1" ht="24.95" customHeight="1" spans="1:12">
      <c r="A273" s="20">
        <v>267</v>
      </c>
      <c r="B273" s="38" t="s">
        <v>480</v>
      </c>
      <c r="C273" s="39" t="s">
        <v>490</v>
      </c>
      <c r="D273" s="39" t="s">
        <v>482</v>
      </c>
      <c r="E273" s="40">
        <v>1840</v>
      </c>
      <c r="F273" s="39" t="s">
        <v>93</v>
      </c>
      <c r="G273" s="46">
        <v>1</v>
      </c>
      <c r="H273" s="64">
        <v>75.7</v>
      </c>
      <c r="I273" s="64">
        <v>75.7</v>
      </c>
      <c r="J273" s="64">
        <v>2.48</v>
      </c>
      <c r="K273" s="64">
        <v>2.48</v>
      </c>
      <c r="L273" s="38"/>
    </row>
    <row r="274" s="4" customFormat="1" ht="24.95" customHeight="1" spans="1:12">
      <c r="A274" s="20">
        <v>268</v>
      </c>
      <c r="B274" s="38" t="s">
        <v>480</v>
      </c>
      <c r="C274" s="39" t="s">
        <v>491</v>
      </c>
      <c r="D274" s="39" t="s">
        <v>482</v>
      </c>
      <c r="E274" s="40">
        <v>1840</v>
      </c>
      <c r="F274" s="39" t="s">
        <v>93</v>
      </c>
      <c r="G274" s="46">
        <v>1</v>
      </c>
      <c r="H274" s="64">
        <v>75.7</v>
      </c>
      <c r="I274" s="64">
        <v>75.7</v>
      </c>
      <c r="J274" s="64">
        <v>2.48</v>
      </c>
      <c r="K274" s="64">
        <v>2.48</v>
      </c>
      <c r="L274" s="38"/>
    </row>
    <row r="275" s="4" customFormat="1" ht="24.95" customHeight="1" spans="1:12">
      <c r="A275" s="20">
        <v>269</v>
      </c>
      <c r="B275" s="38" t="s">
        <v>480</v>
      </c>
      <c r="C275" s="39" t="s">
        <v>492</v>
      </c>
      <c r="D275" s="39" t="s">
        <v>482</v>
      </c>
      <c r="E275" s="40">
        <v>2430</v>
      </c>
      <c r="F275" s="39" t="s">
        <v>93</v>
      </c>
      <c r="G275" s="46">
        <v>1</v>
      </c>
      <c r="H275" s="64">
        <v>106</v>
      </c>
      <c r="I275" s="64">
        <v>106</v>
      </c>
      <c r="J275" s="64">
        <v>3.48</v>
      </c>
      <c r="K275" s="64">
        <v>3.48</v>
      </c>
      <c r="L275" s="38"/>
    </row>
    <row r="276" s="4" customFormat="1" ht="24.95" customHeight="1" spans="1:12">
      <c r="A276" s="20">
        <v>270</v>
      </c>
      <c r="B276" s="38" t="s">
        <v>480</v>
      </c>
      <c r="C276" s="39" t="s">
        <v>493</v>
      </c>
      <c r="D276" s="39" t="s">
        <v>482</v>
      </c>
      <c r="E276" s="40">
        <v>2430</v>
      </c>
      <c r="F276" s="39" t="s">
        <v>93</v>
      </c>
      <c r="G276" s="46">
        <v>1</v>
      </c>
      <c r="H276" s="64">
        <v>106</v>
      </c>
      <c r="I276" s="64">
        <v>106</v>
      </c>
      <c r="J276" s="64">
        <v>3.48</v>
      </c>
      <c r="K276" s="64">
        <v>3.48</v>
      </c>
      <c r="L276" s="38"/>
    </row>
    <row r="277" s="4" customFormat="1" ht="24.95" customHeight="1" spans="1:12">
      <c r="A277" s="20">
        <v>271</v>
      </c>
      <c r="B277" s="38" t="s">
        <v>480</v>
      </c>
      <c r="C277" s="39" t="s">
        <v>494</v>
      </c>
      <c r="D277" s="39" t="s">
        <v>482</v>
      </c>
      <c r="E277" s="40">
        <v>1840</v>
      </c>
      <c r="F277" s="39" t="s">
        <v>93</v>
      </c>
      <c r="G277" s="46">
        <v>1</v>
      </c>
      <c r="H277" s="64">
        <v>75.7</v>
      </c>
      <c r="I277" s="64">
        <v>75.7</v>
      </c>
      <c r="J277" s="64">
        <v>2.48</v>
      </c>
      <c r="K277" s="64">
        <v>2.48</v>
      </c>
      <c r="L277" s="38"/>
    </row>
    <row r="278" s="4" customFormat="1" ht="24.95" customHeight="1" spans="1:12">
      <c r="A278" s="20">
        <v>272</v>
      </c>
      <c r="B278" s="38" t="s">
        <v>480</v>
      </c>
      <c r="C278" s="39" t="s">
        <v>495</v>
      </c>
      <c r="D278" s="39" t="s">
        <v>482</v>
      </c>
      <c r="E278" s="40">
        <v>1840</v>
      </c>
      <c r="F278" s="39" t="s">
        <v>93</v>
      </c>
      <c r="G278" s="46">
        <v>1</v>
      </c>
      <c r="H278" s="64">
        <v>75.7</v>
      </c>
      <c r="I278" s="64">
        <v>75.7</v>
      </c>
      <c r="J278" s="64">
        <v>2.48</v>
      </c>
      <c r="K278" s="64">
        <v>2.48</v>
      </c>
      <c r="L278" s="38"/>
    </row>
    <row r="279" s="4" customFormat="1" ht="24.95" customHeight="1" spans="1:12">
      <c r="A279" s="20">
        <v>273</v>
      </c>
      <c r="B279" s="38" t="s">
        <v>480</v>
      </c>
      <c r="C279" s="39" t="s">
        <v>496</v>
      </c>
      <c r="D279" s="39" t="s">
        <v>482</v>
      </c>
      <c r="E279" s="40">
        <v>1790</v>
      </c>
      <c r="F279" s="39" t="s">
        <v>93</v>
      </c>
      <c r="G279" s="46">
        <v>1</v>
      </c>
      <c r="H279" s="64">
        <v>73.8</v>
      </c>
      <c r="I279" s="64">
        <v>73.8</v>
      </c>
      <c r="J279" s="64">
        <v>2.42</v>
      </c>
      <c r="K279" s="64">
        <v>2.42</v>
      </c>
      <c r="L279" s="38"/>
    </row>
    <row r="280" s="4" customFormat="1" ht="24.95" customHeight="1" spans="1:12">
      <c r="A280" s="20">
        <v>274</v>
      </c>
      <c r="B280" s="38" t="s">
        <v>480</v>
      </c>
      <c r="C280" s="39" t="s">
        <v>497</v>
      </c>
      <c r="D280" s="39" t="s">
        <v>482</v>
      </c>
      <c r="E280" s="40">
        <v>1790</v>
      </c>
      <c r="F280" s="39" t="s">
        <v>93</v>
      </c>
      <c r="G280" s="46">
        <v>1</v>
      </c>
      <c r="H280" s="64">
        <v>73.8</v>
      </c>
      <c r="I280" s="64">
        <v>73.8</v>
      </c>
      <c r="J280" s="64">
        <v>2.42</v>
      </c>
      <c r="K280" s="64">
        <v>2.42</v>
      </c>
      <c r="L280" s="38"/>
    </row>
    <row r="281" s="4" customFormat="1" ht="24.95" customHeight="1" spans="1:12">
      <c r="A281" s="20">
        <v>275</v>
      </c>
      <c r="B281" s="38" t="s">
        <v>480</v>
      </c>
      <c r="C281" s="39" t="s">
        <v>498</v>
      </c>
      <c r="D281" s="39" t="s">
        <v>482</v>
      </c>
      <c r="E281" s="40">
        <v>2430</v>
      </c>
      <c r="F281" s="39" t="s">
        <v>93</v>
      </c>
      <c r="G281" s="46">
        <v>1</v>
      </c>
      <c r="H281" s="64">
        <v>97.9</v>
      </c>
      <c r="I281" s="64">
        <v>97.9</v>
      </c>
      <c r="J281" s="64">
        <v>3.2</v>
      </c>
      <c r="K281" s="64">
        <v>3.2</v>
      </c>
      <c r="L281" s="38"/>
    </row>
    <row r="282" s="4" customFormat="1" ht="24.95" customHeight="1" spans="1:12">
      <c r="A282" s="20">
        <v>276</v>
      </c>
      <c r="B282" s="38" t="s">
        <v>480</v>
      </c>
      <c r="C282" s="39" t="s">
        <v>499</v>
      </c>
      <c r="D282" s="39" t="s">
        <v>482</v>
      </c>
      <c r="E282" s="40">
        <v>2430</v>
      </c>
      <c r="F282" s="39" t="s">
        <v>93</v>
      </c>
      <c r="G282" s="46">
        <v>1</v>
      </c>
      <c r="H282" s="64">
        <v>97.9</v>
      </c>
      <c r="I282" s="64">
        <v>97.9</v>
      </c>
      <c r="J282" s="64">
        <v>3.2</v>
      </c>
      <c r="K282" s="64">
        <v>3.2</v>
      </c>
      <c r="L282" s="38"/>
    </row>
    <row r="283" s="4" customFormat="1" ht="24.95" customHeight="1" spans="1:12">
      <c r="A283" s="20">
        <v>277</v>
      </c>
      <c r="B283" s="38" t="s">
        <v>500</v>
      </c>
      <c r="C283" s="39" t="s">
        <v>501</v>
      </c>
      <c r="D283" s="39" t="s">
        <v>502</v>
      </c>
      <c r="E283" s="40">
        <v>1435.3</v>
      </c>
      <c r="F283" s="39" t="s">
        <v>93</v>
      </c>
      <c r="G283" s="46">
        <v>4</v>
      </c>
      <c r="H283" s="64">
        <v>76.9</v>
      </c>
      <c r="I283" s="64">
        <v>307.5</v>
      </c>
      <c r="J283" s="64">
        <v>2.5</v>
      </c>
      <c r="K283" s="64">
        <v>10.01</v>
      </c>
      <c r="L283" s="38"/>
    </row>
    <row r="284" s="4" customFormat="1" ht="24.95" customHeight="1" spans="1:12">
      <c r="A284" s="20">
        <v>278</v>
      </c>
      <c r="B284" s="38" t="s">
        <v>500</v>
      </c>
      <c r="C284" s="39" t="s">
        <v>503</v>
      </c>
      <c r="D284" s="39" t="s">
        <v>502</v>
      </c>
      <c r="E284" s="40">
        <v>1435.3</v>
      </c>
      <c r="F284" s="39" t="s">
        <v>93</v>
      </c>
      <c r="G284" s="46">
        <v>4</v>
      </c>
      <c r="H284" s="64">
        <v>76.9</v>
      </c>
      <c r="I284" s="64">
        <v>307.5</v>
      </c>
      <c r="J284" s="64">
        <v>2.5</v>
      </c>
      <c r="K284" s="64">
        <v>10.01</v>
      </c>
      <c r="L284" s="38"/>
    </row>
    <row r="285" s="4" customFormat="1" ht="24.95" customHeight="1" spans="1:12">
      <c r="A285" s="20">
        <v>279</v>
      </c>
      <c r="B285" s="38" t="s">
        <v>500</v>
      </c>
      <c r="C285" s="39" t="s">
        <v>504</v>
      </c>
      <c r="D285" s="39" t="s">
        <v>502</v>
      </c>
      <c r="E285" s="40">
        <v>1877.5</v>
      </c>
      <c r="F285" s="39" t="s">
        <v>93</v>
      </c>
      <c r="G285" s="46">
        <v>1</v>
      </c>
      <c r="H285" s="64">
        <v>91.7</v>
      </c>
      <c r="I285" s="64">
        <v>91.7</v>
      </c>
      <c r="J285" s="64">
        <v>3.03</v>
      </c>
      <c r="K285" s="64">
        <v>3.03</v>
      </c>
      <c r="L285" s="38"/>
    </row>
    <row r="286" s="4" customFormat="1" ht="24.95" customHeight="1" spans="1:12">
      <c r="A286" s="20">
        <v>280</v>
      </c>
      <c r="B286" s="38" t="s">
        <v>500</v>
      </c>
      <c r="C286" s="39" t="s">
        <v>505</v>
      </c>
      <c r="D286" s="39" t="s">
        <v>502</v>
      </c>
      <c r="E286" s="40">
        <v>1877.5</v>
      </c>
      <c r="F286" s="39" t="s">
        <v>93</v>
      </c>
      <c r="G286" s="46">
        <v>1</v>
      </c>
      <c r="H286" s="64">
        <v>91.7</v>
      </c>
      <c r="I286" s="64">
        <v>91.7</v>
      </c>
      <c r="J286" s="64">
        <v>3.03</v>
      </c>
      <c r="K286" s="64">
        <v>3.03</v>
      </c>
      <c r="L286" s="38"/>
    </row>
    <row r="287" s="4" customFormat="1" ht="24.95" customHeight="1" spans="1:12">
      <c r="A287" s="20">
        <v>281</v>
      </c>
      <c r="B287" s="38" t="s">
        <v>500</v>
      </c>
      <c r="C287" s="39" t="s">
        <v>506</v>
      </c>
      <c r="D287" s="39" t="s">
        <v>502</v>
      </c>
      <c r="E287" s="40">
        <v>1394.5</v>
      </c>
      <c r="F287" s="39" t="s">
        <v>93</v>
      </c>
      <c r="G287" s="46">
        <v>1</v>
      </c>
      <c r="H287" s="64">
        <v>75.5</v>
      </c>
      <c r="I287" s="64">
        <v>75.5</v>
      </c>
      <c r="J287" s="64">
        <v>2.46</v>
      </c>
      <c r="K287" s="64">
        <v>2.46</v>
      </c>
      <c r="L287" s="38"/>
    </row>
    <row r="288" s="4" customFormat="1" ht="24.95" customHeight="1" spans="1:12">
      <c r="A288" s="20">
        <v>282</v>
      </c>
      <c r="B288" s="38" t="s">
        <v>500</v>
      </c>
      <c r="C288" s="39" t="s">
        <v>507</v>
      </c>
      <c r="D288" s="39" t="s">
        <v>502</v>
      </c>
      <c r="E288" s="40">
        <v>1394.5</v>
      </c>
      <c r="F288" s="39" t="s">
        <v>93</v>
      </c>
      <c r="G288" s="46">
        <v>1</v>
      </c>
      <c r="H288" s="64">
        <v>75.5</v>
      </c>
      <c r="I288" s="64">
        <v>75.5</v>
      </c>
      <c r="J288" s="64">
        <v>2.46</v>
      </c>
      <c r="K288" s="64">
        <v>2.46</v>
      </c>
      <c r="L288" s="38"/>
    </row>
    <row r="289" s="4" customFormat="1" ht="24.95" customHeight="1" spans="1:12">
      <c r="A289" s="20">
        <v>283</v>
      </c>
      <c r="B289" s="38" t="s">
        <v>500</v>
      </c>
      <c r="C289" s="39" t="s">
        <v>508</v>
      </c>
      <c r="D289" s="39" t="s">
        <v>502</v>
      </c>
      <c r="E289" s="40">
        <v>1550</v>
      </c>
      <c r="F289" s="39" t="s">
        <v>93</v>
      </c>
      <c r="G289" s="46">
        <v>1</v>
      </c>
      <c r="H289" s="64">
        <v>93.4</v>
      </c>
      <c r="I289" s="64">
        <v>93.4</v>
      </c>
      <c r="J289" s="64">
        <v>2.86</v>
      </c>
      <c r="K289" s="64">
        <v>2.86</v>
      </c>
      <c r="L289" s="38"/>
    </row>
    <row r="290" s="4" customFormat="1" ht="24.95" customHeight="1" spans="1:12">
      <c r="A290" s="20">
        <v>284</v>
      </c>
      <c r="B290" s="38" t="s">
        <v>500</v>
      </c>
      <c r="C290" s="39" t="s">
        <v>509</v>
      </c>
      <c r="D290" s="39" t="s">
        <v>502</v>
      </c>
      <c r="E290" s="40">
        <v>1550</v>
      </c>
      <c r="F290" s="39" t="s">
        <v>93</v>
      </c>
      <c r="G290" s="46">
        <v>1</v>
      </c>
      <c r="H290" s="64">
        <v>93.4</v>
      </c>
      <c r="I290" s="64">
        <v>93.4</v>
      </c>
      <c r="J290" s="64">
        <v>2.86</v>
      </c>
      <c r="K290" s="64">
        <v>2.86</v>
      </c>
      <c r="L290" s="38"/>
    </row>
    <row r="291" s="4" customFormat="1" ht="24.95" customHeight="1" spans="1:12">
      <c r="A291" s="20">
        <v>285</v>
      </c>
      <c r="B291" s="38" t="s">
        <v>500</v>
      </c>
      <c r="C291" s="39" t="s">
        <v>510</v>
      </c>
      <c r="D291" s="39" t="s">
        <v>502</v>
      </c>
      <c r="E291" s="40">
        <v>1360</v>
      </c>
      <c r="F291" s="39" t="s">
        <v>93</v>
      </c>
      <c r="G291" s="46">
        <v>1</v>
      </c>
      <c r="H291" s="64">
        <v>75.5</v>
      </c>
      <c r="I291" s="64">
        <v>75.5</v>
      </c>
      <c r="J291" s="64">
        <v>2.46</v>
      </c>
      <c r="K291" s="64">
        <v>2.46</v>
      </c>
      <c r="L291" s="38"/>
    </row>
    <row r="292" s="4" customFormat="1" ht="24.95" customHeight="1" spans="1:12">
      <c r="A292" s="20">
        <v>286</v>
      </c>
      <c r="B292" s="38" t="s">
        <v>500</v>
      </c>
      <c r="C292" s="39" t="s">
        <v>511</v>
      </c>
      <c r="D292" s="39" t="s">
        <v>502</v>
      </c>
      <c r="E292" s="40">
        <v>1360</v>
      </c>
      <c r="F292" s="39" t="s">
        <v>93</v>
      </c>
      <c r="G292" s="46">
        <v>1</v>
      </c>
      <c r="H292" s="64">
        <v>75.5</v>
      </c>
      <c r="I292" s="64">
        <v>75.5</v>
      </c>
      <c r="J292" s="64">
        <v>2.46</v>
      </c>
      <c r="K292" s="64">
        <v>2.46</v>
      </c>
      <c r="L292" s="38"/>
    </row>
    <row r="293" s="4" customFormat="1" ht="24.95" customHeight="1" spans="1:12">
      <c r="A293" s="20">
        <v>287</v>
      </c>
      <c r="B293" s="38" t="s">
        <v>500</v>
      </c>
      <c r="C293" s="39" t="s">
        <v>512</v>
      </c>
      <c r="D293" s="39" t="s">
        <v>502</v>
      </c>
      <c r="E293" s="40">
        <v>1840</v>
      </c>
      <c r="F293" s="39" t="s">
        <v>93</v>
      </c>
      <c r="G293" s="46">
        <v>1</v>
      </c>
      <c r="H293" s="64">
        <v>91.7</v>
      </c>
      <c r="I293" s="64">
        <v>91.7</v>
      </c>
      <c r="J293" s="64">
        <v>3.03</v>
      </c>
      <c r="K293" s="64">
        <v>3.03</v>
      </c>
      <c r="L293" s="38"/>
    </row>
    <row r="294" s="4" customFormat="1" ht="24.95" customHeight="1" spans="1:12">
      <c r="A294" s="20">
        <v>288</v>
      </c>
      <c r="B294" s="38" t="s">
        <v>500</v>
      </c>
      <c r="C294" s="39" t="s">
        <v>513</v>
      </c>
      <c r="D294" s="39" t="s">
        <v>502</v>
      </c>
      <c r="E294" s="40">
        <v>1840</v>
      </c>
      <c r="F294" s="39" t="s">
        <v>93</v>
      </c>
      <c r="G294" s="46">
        <v>1</v>
      </c>
      <c r="H294" s="64">
        <v>91.7</v>
      </c>
      <c r="I294" s="64">
        <v>91.7</v>
      </c>
      <c r="J294" s="64">
        <v>3.03</v>
      </c>
      <c r="K294" s="64">
        <v>3.03</v>
      </c>
      <c r="L294" s="38"/>
    </row>
    <row r="295" s="4" customFormat="1" ht="24.95" customHeight="1" spans="1:12">
      <c r="A295" s="20">
        <v>289</v>
      </c>
      <c r="B295" s="38" t="s">
        <v>500</v>
      </c>
      <c r="C295" s="39" t="s">
        <v>514</v>
      </c>
      <c r="D295" s="39" t="s">
        <v>502</v>
      </c>
      <c r="E295" s="40">
        <v>1400</v>
      </c>
      <c r="F295" s="39" t="s">
        <v>93</v>
      </c>
      <c r="G295" s="46">
        <v>4</v>
      </c>
      <c r="H295" s="64">
        <v>76.9</v>
      </c>
      <c r="I295" s="64">
        <v>307.5</v>
      </c>
      <c r="J295" s="64">
        <v>2.5</v>
      </c>
      <c r="K295" s="64">
        <v>10.01</v>
      </c>
      <c r="L295" s="38"/>
    </row>
    <row r="296" s="4" customFormat="1" ht="24.95" customHeight="1" spans="1:12">
      <c r="A296" s="20">
        <v>290</v>
      </c>
      <c r="B296" s="38" t="s">
        <v>500</v>
      </c>
      <c r="C296" s="39" t="s">
        <v>515</v>
      </c>
      <c r="D296" s="39" t="s">
        <v>502</v>
      </c>
      <c r="E296" s="40">
        <v>1400</v>
      </c>
      <c r="F296" s="39" t="s">
        <v>93</v>
      </c>
      <c r="G296" s="46">
        <v>4</v>
      </c>
      <c r="H296" s="64">
        <v>76.9</v>
      </c>
      <c r="I296" s="64">
        <v>307.5</v>
      </c>
      <c r="J296" s="64">
        <v>2.5</v>
      </c>
      <c r="K296" s="64">
        <v>10.01</v>
      </c>
      <c r="L296" s="38"/>
    </row>
    <row r="297" s="4" customFormat="1" ht="24.95" customHeight="1" spans="1:12">
      <c r="A297" s="20">
        <v>291</v>
      </c>
      <c r="B297" s="38" t="s">
        <v>500</v>
      </c>
      <c r="C297" s="39" t="s">
        <v>516</v>
      </c>
      <c r="D297" s="39" t="s">
        <v>502</v>
      </c>
      <c r="E297" s="40">
        <v>1586.4</v>
      </c>
      <c r="F297" s="39" t="s">
        <v>93</v>
      </c>
      <c r="G297" s="46">
        <v>1</v>
      </c>
      <c r="H297" s="64">
        <v>93.4</v>
      </c>
      <c r="I297" s="64">
        <v>93.4</v>
      </c>
      <c r="J297" s="64">
        <v>2.86</v>
      </c>
      <c r="K297" s="64">
        <v>2.86</v>
      </c>
      <c r="L297" s="38"/>
    </row>
    <row r="298" s="4" customFormat="1" ht="24.95" customHeight="1" spans="1:12">
      <c r="A298" s="20">
        <v>292</v>
      </c>
      <c r="B298" s="38" t="s">
        <v>500</v>
      </c>
      <c r="C298" s="39" t="s">
        <v>517</v>
      </c>
      <c r="D298" s="39" t="s">
        <v>502</v>
      </c>
      <c r="E298" s="40">
        <v>1586.4</v>
      </c>
      <c r="F298" s="39" t="s">
        <v>93</v>
      </c>
      <c r="G298" s="46">
        <v>1</v>
      </c>
      <c r="H298" s="64">
        <v>93.4</v>
      </c>
      <c r="I298" s="64">
        <v>93.4</v>
      </c>
      <c r="J298" s="64">
        <v>2.86</v>
      </c>
      <c r="K298" s="64">
        <v>2.86</v>
      </c>
      <c r="L298" s="38"/>
    </row>
    <row r="299" s="4" customFormat="1" ht="24.95" customHeight="1" spans="1:12">
      <c r="A299" s="20">
        <v>293</v>
      </c>
      <c r="B299" s="38" t="s">
        <v>500</v>
      </c>
      <c r="C299" s="39" t="s">
        <v>518</v>
      </c>
      <c r="D299" s="39" t="s">
        <v>137</v>
      </c>
      <c r="E299" s="40">
        <v>20605</v>
      </c>
      <c r="F299" s="39" t="s">
        <v>93</v>
      </c>
      <c r="G299" s="46">
        <v>4</v>
      </c>
      <c r="H299" s="64">
        <v>1715.3</v>
      </c>
      <c r="I299" s="64">
        <v>6861.1</v>
      </c>
      <c r="J299" s="64">
        <v>35.64</v>
      </c>
      <c r="K299" s="64">
        <v>142.55</v>
      </c>
      <c r="L299" s="38"/>
    </row>
    <row r="300" s="4" customFormat="1" ht="24.95" customHeight="1" spans="1:12">
      <c r="A300" s="20">
        <v>294</v>
      </c>
      <c r="B300" s="38" t="s">
        <v>500</v>
      </c>
      <c r="C300" s="39" t="s">
        <v>519</v>
      </c>
      <c r="D300" s="39" t="s">
        <v>502</v>
      </c>
      <c r="E300" s="40">
        <v>3225</v>
      </c>
      <c r="F300" s="39" t="s">
        <v>93</v>
      </c>
      <c r="G300" s="46">
        <v>1</v>
      </c>
      <c r="H300" s="64">
        <v>122.8</v>
      </c>
      <c r="I300" s="64">
        <v>122.8</v>
      </c>
      <c r="J300" s="64">
        <v>4.15</v>
      </c>
      <c r="K300" s="64">
        <v>4.15</v>
      </c>
      <c r="L300" s="38"/>
    </row>
    <row r="301" s="4" customFormat="1" ht="24.95" customHeight="1" spans="1:12">
      <c r="A301" s="20">
        <v>295</v>
      </c>
      <c r="B301" s="38" t="s">
        <v>500</v>
      </c>
      <c r="C301" s="39" t="s">
        <v>520</v>
      </c>
      <c r="D301" s="39" t="s">
        <v>137</v>
      </c>
      <c r="E301" s="40">
        <v>20605</v>
      </c>
      <c r="F301" s="39" t="s">
        <v>93</v>
      </c>
      <c r="G301" s="46">
        <v>2</v>
      </c>
      <c r="H301" s="64">
        <v>1699.2</v>
      </c>
      <c r="I301" s="64">
        <v>3398.4</v>
      </c>
      <c r="J301" s="64">
        <v>35.17</v>
      </c>
      <c r="K301" s="64">
        <v>70.33</v>
      </c>
      <c r="L301" s="38"/>
    </row>
    <row r="302" s="4" customFormat="1" ht="24.95" customHeight="1" spans="1:12">
      <c r="A302" s="20">
        <v>296</v>
      </c>
      <c r="B302" s="38" t="s">
        <v>500</v>
      </c>
      <c r="C302" s="39" t="s">
        <v>521</v>
      </c>
      <c r="D302" s="39" t="s">
        <v>137</v>
      </c>
      <c r="E302" s="40">
        <v>20605</v>
      </c>
      <c r="F302" s="39" t="s">
        <v>93</v>
      </c>
      <c r="G302" s="46">
        <v>2</v>
      </c>
      <c r="H302" s="64">
        <v>1699.2</v>
      </c>
      <c r="I302" s="64">
        <v>3398.4</v>
      </c>
      <c r="J302" s="64">
        <v>35.17</v>
      </c>
      <c r="K302" s="64">
        <v>70.33</v>
      </c>
      <c r="L302" s="38"/>
    </row>
    <row r="303" s="4" customFormat="1" ht="24.95" customHeight="1" spans="1:12">
      <c r="A303" s="20">
        <v>297</v>
      </c>
      <c r="B303" s="65" t="s">
        <v>394</v>
      </c>
      <c r="C303" s="49" t="s">
        <v>395</v>
      </c>
      <c r="D303" s="49" t="s">
        <v>396</v>
      </c>
      <c r="E303" s="50">
        <v>1480</v>
      </c>
      <c r="F303" s="49" t="s">
        <v>93</v>
      </c>
      <c r="G303" s="51">
        <v>24</v>
      </c>
      <c r="H303" s="70">
        <v>21.7</v>
      </c>
      <c r="I303" s="70">
        <v>520.2</v>
      </c>
      <c r="J303" s="70">
        <v>0.87</v>
      </c>
      <c r="K303" s="70">
        <v>20.94</v>
      </c>
      <c r="L303" s="72" t="s">
        <v>397</v>
      </c>
    </row>
    <row r="304" s="4" customFormat="1" ht="24.95" customHeight="1" spans="1:12">
      <c r="A304" s="20">
        <v>298</v>
      </c>
      <c r="B304" s="65" t="s">
        <v>394</v>
      </c>
      <c r="C304" s="49" t="s">
        <v>398</v>
      </c>
      <c r="D304" s="49" t="s">
        <v>396</v>
      </c>
      <c r="E304" s="50">
        <v>2640</v>
      </c>
      <c r="F304" s="49" t="s">
        <v>93</v>
      </c>
      <c r="G304" s="51">
        <v>28</v>
      </c>
      <c r="H304" s="70">
        <v>38.7</v>
      </c>
      <c r="I304" s="70">
        <v>1082.5</v>
      </c>
      <c r="J304" s="70">
        <v>1.55</v>
      </c>
      <c r="K304" s="70">
        <v>43.5</v>
      </c>
      <c r="L304" s="73"/>
    </row>
    <row r="305" s="4" customFormat="1" ht="24.95" customHeight="1" spans="1:12">
      <c r="A305" s="20">
        <v>299</v>
      </c>
      <c r="B305" s="65" t="s">
        <v>394</v>
      </c>
      <c r="C305" s="49" t="s">
        <v>399</v>
      </c>
      <c r="D305" s="49" t="s">
        <v>396</v>
      </c>
      <c r="E305" s="50">
        <v>940</v>
      </c>
      <c r="F305" s="49" t="s">
        <v>93</v>
      </c>
      <c r="G305" s="51">
        <v>4</v>
      </c>
      <c r="H305" s="70">
        <v>13.8</v>
      </c>
      <c r="I305" s="70">
        <v>55.1</v>
      </c>
      <c r="J305" s="70">
        <v>0.56</v>
      </c>
      <c r="K305" s="70">
        <v>2.22</v>
      </c>
      <c r="L305" s="73"/>
    </row>
    <row r="306" s="4" customFormat="1" ht="24.95" customHeight="1" spans="1:12">
      <c r="A306" s="20">
        <v>300</v>
      </c>
      <c r="B306" s="65" t="s">
        <v>394</v>
      </c>
      <c r="C306" s="49" t="s">
        <v>400</v>
      </c>
      <c r="D306" s="49" t="s">
        <v>396</v>
      </c>
      <c r="E306" s="50">
        <v>1631</v>
      </c>
      <c r="F306" s="49" t="s">
        <v>93</v>
      </c>
      <c r="G306" s="51">
        <v>12</v>
      </c>
      <c r="H306" s="70">
        <v>23.9</v>
      </c>
      <c r="I306" s="70">
        <v>286.6</v>
      </c>
      <c r="J306" s="70">
        <v>0.96</v>
      </c>
      <c r="K306" s="70">
        <v>11.53</v>
      </c>
      <c r="L306" s="73"/>
    </row>
    <row r="307" s="4" customFormat="1" ht="24.95" customHeight="1" spans="1:12">
      <c r="A307" s="20">
        <v>301</v>
      </c>
      <c r="B307" s="65" t="s">
        <v>394</v>
      </c>
      <c r="C307" s="49" t="s">
        <v>401</v>
      </c>
      <c r="D307" s="49" t="s">
        <v>396</v>
      </c>
      <c r="E307" s="50">
        <v>2251</v>
      </c>
      <c r="F307" s="49" t="s">
        <v>93</v>
      </c>
      <c r="G307" s="51">
        <v>14</v>
      </c>
      <c r="H307" s="70">
        <v>33</v>
      </c>
      <c r="I307" s="70">
        <v>461.5</v>
      </c>
      <c r="J307" s="70">
        <v>1.33</v>
      </c>
      <c r="K307" s="70">
        <v>18.55</v>
      </c>
      <c r="L307" s="73"/>
    </row>
    <row r="308" s="4" customFormat="1" ht="24.95" customHeight="1" spans="1:12">
      <c r="A308" s="20">
        <v>302</v>
      </c>
      <c r="B308" s="65" t="s">
        <v>394</v>
      </c>
      <c r="C308" s="49" t="s">
        <v>402</v>
      </c>
      <c r="D308" s="49" t="s">
        <v>396</v>
      </c>
      <c r="E308" s="50">
        <v>1091</v>
      </c>
      <c r="F308" s="49" t="s">
        <v>93</v>
      </c>
      <c r="G308" s="51">
        <v>2</v>
      </c>
      <c r="H308" s="70">
        <v>16</v>
      </c>
      <c r="I308" s="70">
        <v>32</v>
      </c>
      <c r="J308" s="70">
        <v>0.64</v>
      </c>
      <c r="K308" s="70">
        <v>1.29</v>
      </c>
      <c r="L308" s="73"/>
    </row>
    <row r="309" s="4" customFormat="1" ht="24.95" customHeight="1" spans="1:12">
      <c r="A309" s="20">
        <v>303</v>
      </c>
      <c r="B309" s="65" t="s">
        <v>394</v>
      </c>
      <c r="C309" s="49" t="s">
        <v>403</v>
      </c>
      <c r="D309" s="49" t="s">
        <v>396</v>
      </c>
      <c r="E309" s="50">
        <v>1325</v>
      </c>
      <c r="F309" s="49" t="s">
        <v>93</v>
      </c>
      <c r="G309" s="51">
        <v>2</v>
      </c>
      <c r="H309" s="70">
        <v>19.4</v>
      </c>
      <c r="I309" s="70">
        <v>38.8</v>
      </c>
      <c r="J309" s="70">
        <v>0.78</v>
      </c>
      <c r="K309" s="70">
        <v>1.56</v>
      </c>
      <c r="L309" s="73"/>
    </row>
    <row r="310" s="4" customFormat="1" ht="24.95" customHeight="1" spans="1:12">
      <c r="A310" s="20">
        <v>304</v>
      </c>
      <c r="B310" s="65" t="s">
        <v>394</v>
      </c>
      <c r="C310" s="49" t="s">
        <v>404</v>
      </c>
      <c r="D310" s="49" t="s">
        <v>396</v>
      </c>
      <c r="E310" s="50">
        <v>898</v>
      </c>
      <c r="F310" s="49" t="s">
        <v>93</v>
      </c>
      <c r="G310" s="51">
        <v>1</v>
      </c>
      <c r="H310" s="70">
        <v>13.2</v>
      </c>
      <c r="I310" s="70">
        <v>13.2</v>
      </c>
      <c r="J310" s="70">
        <v>0.53</v>
      </c>
      <c r="K310" s="70">
        <v>0.53</v>
      </c>
      <c r="L310" s="73"/>
    </row>
    <row r="311" s="4" customFormat="1" ht="24.95" customHeight="1" spans="1:12">
      <c r="A311" s="20">
        <v>305</v>
      </c>
      <c r="B311" s="65" t="s">
        <v>394</v>
      </c>
      <c r="C311" s="49" t="s">
        <v>405</v>
      </c>
      <c r="D311" s="49" t="s">
        <v>396</v>
      </c>
      <c r="E311" s="50">
        <v>1515</v>
      </c>
      <c r="F311" s="49" t="s">
        <v>93</v>
      </c>
      <c r="G311" s="51">
        <v>16</v>
      </c>
      <c r="H311" s="70">
        <v>22.2</v>
      </c>
      <c r="I311" s="70">
        <v>355</v>
      </c>
      <c r="J311" s="70">
        <v>0.89</v>
      </c>
      <c r="K311" s="70">
        <v>14.29</v>
      </c>
      <c r="L311" s="73"/>
    </row>
    <row r="312" s="4" customFormat="1" ht="24.95" customHeight="1" spans="1:12">
      <c r="A312" s="20">
        <v>306</v>
      </c>
      <c r="B312" s="65" t="s">
        <v>394</v>
      </c>
      <c r="C312" s="49" t="s">
        <v>406</v>
      </c>
      <c r="D312" s="49" t="s">
        <v>396</v>
      </c>
      <c r="E312" s="50">
        <v>2667</v>
      </c>
      <c r="F312" s="49" t="s">
        <v>93</v>
      </c>
      <c r="G312" s="51">
        <v>4</v>
      </c>
      <c r="H312" s="70">
        <v>39.1</v>
      </c>
      <c r="I312" s="70">
        <v>156.2</v>
      </c>
      <c r="J312" s="70">
        <v>1.57</v>
      </c>
      <c r="K312" s="70">
        <v>6.28</v>
      </c>
      <c r="L312" s="73"/>
    </row>
    <row r="313" s="4" customFormat="1" ht="24.95" customHeight="1" spans="1:12">
      <c r="A313" s="20">
        <v>307</v>
      </c>
      <c r="B313" s="65" t="s">
        <v>394</v>
      </c>
      <c r="C313" s="49" t="s">
        <v>407</v>
      </c>
      <c r="D313" s="49" t="s">
        <v>396</v>
      </c>
      <c r="E313" s="50">
        <v>2518.5</v>
      </c>
      <c r="F313" s="49" t="s">
        <v>93</v>
      </c>
      <c r="G313" s="51">
        <v>4</v>
      </c>
      <c r="H313" s="70">
        <v>36.9</v>
      </c>
      <c r="I313" s="70">
        <v>147.5</v>
      </c>
      <c r="J313" s="70">
        <v>1.48</v>
      </c>
      <c r="K313" s="70">
        <v>5.93</v>
      </c>
      <c r="L313" s="73"/>
    </row>
    <row r="314" s="4" customFormat="1" ht="24.95" customHeight="1" spans="1:12">
      <c r="A314" s="20">
        <v>308</v>
      </c>
      <c r="B314" s="65" t="s">
        <v>394</v>
      </c>
      <c r="C314" s="49" t="s">
        <v>408</v>
      </c>
      <c r="D314" s="49" t="s">
        <v>396</v>
      </c>
      <c r="E314" s="50">
        <v>1245</v>
      </c>
      <c r="F314" s="49" t="s">
        <v>93</v>
      </c>
      <c r="G314" s="51">
        <v>4</v>
      </c>
      <c r="H314" s="70">
        <v>18.2</v>
      </c>
      <c r="I314" s="70">
        <v>72.9</v>
      </c>
      <c r="J314" s="70">
        <v>0.73</v>
      </c>
      <c r="K314" s="70">
        <v>2.94</v>
      </c>
      <c r="L314" s="73"/>
    </row>
    <row r="315" s="4" customFormat="1" ht="24.95" customHeight="1" spans="1:12">
      <c r="A315" s="20">
        <v>309</v>
      </c>
      <c r="B315" s="65" t="s">
        <v>394</v>
      </c>
      <c r="C315" s="49" t="s">
        <v>409</v>
      </c>
      <c r="D315" s="49" t="s">
        <v>396</v>
      </c>
      <c r="E315" s="50">
        <v>1110</v>
      </c>
      <c r="F315" s="49" t="s">
        <v>93</v>
      </c>
      <c r="G315" s="51">
        <v>4</v>
      </c>
      <c r="H315" s="70">
        <v>16.3</v>
      </c>
      <c r="I315" s="70">
        <v>65</v>
      </c>
      <c r="J315" s="70">
        <v>0.66</v>
      </c>
      <c r="K315" s="70">
        <v>2.62</v>
      </c>
      <c r="L315" s="73"/>
    </row>
    <row r="316" s="4" customFormat="1" ht="24.95" customHeight="1" spans="1:12">
      <c r="A316" s="20">
        <v>310</v>
      </c>
      <c r="B316" s="65" t="s">
        <v>394</v>
      </c>
      <c r="C316" s="49" t="s">
        <v>410</v>
      </c>
      <c r="D316" s="49" t="s">
        <v>396</v>
      </c>
      <c r="E316" s="50">
        <v>1321</v>
      </c>
      <c r="F316" s="49" t="s">
        <v>93</v>
      </c>
      <c r="G316" s="51">
        <v>4</v>
      </c>
      <c r="H316" s="70">
        <v>19</v>
      </c>
      <c r="I316" s="70">
        <v>75.8</v>
      </c>
      <c r="J316" s="70">
        <v>0.76</v>
      </c>
      <c r="K316" s="70">
        <v>3.05</v>
      </c>
      <c r="L316" s="73"/>
    </row>
    <row r="317" s="4" customFormat="1" ht="24.95" customHeight="1" spans="1:12">
      <c r="A317" s="20">
        <v>311</v>
      </c>
      <c r="B317" s="65" t="s">
        <v>394</v>
      </c>
      <c r="C317" s="49" t="s">
        <v>411</v>
      </c>
      <c r="D317" s="49" t="s">
        <v>396</v>
      </c>
      <c r="E317" s="50">
        <v>1396</v>
      </c>
      <c r="F317" s="49" t="s">
        <v>93</v>
      </c>
      <c r="G317" s="51">
        <v>4</v>
      </c>
      <c r="H317" s="70">
        <v>20</v>
      </c>
      <c r="I317" s="70">
        <v>80.2</v>
      </c>
      <c r="J317" s="70">
        <v>0.81</v>
      </c>
      <c r="K317" s="70">
        <v>3.23</v>
      </c>
      <c r="L317" s="73"/>
    </row>
    <row r="318" s="4" customFormat="1" ht="24.95" customHeight="1" spans="1:12">
      <c r="A318" s="20">
        <v>312</v>
      </c>
      <c r="B318" s="65" t="s">
        <v>394</v>
      </c>
      <c r="C318" s="49" t="s">
        <v>412</v>
      </c>
      <c r="D318" s="49" t="s">
        <v>396</v>
      </c>
      <c r="E318" s="50">
        <v>1342</v>
      </c>
      <c r="F318" s="49" t="s">
        <v>93</v>
      </c>
      <c r="G318" s="51">
        <v>1</v>
      </c>
      <c r="H318" s="70">
        <v>19</v>
      </c>
      <c r="I318" s="70">
        <v>19</v>
      </c>
      <c r="J318" s="70">
        <v>0.77</v>
      </c>
      <c r="K318" s="70">
        <v>0.77</v>
      </c>
      <c r="L318" s="73"/>
    </row>
    <row r="319" s="4" customFormat="1" ht="24.95" customHeight="1" spans="1:12">
      <c r="A319" s="20">
        <v>313</v>
      </c>
      <c r="B319" s="65" t="s">
        <v>394</v>
      </c>
      <c r="C319" s="49" t="s">
        <v>413</v>
      </c>
      <c r="D319" s="49" t="s">
        <v>396</v>
      </c>
      <c r="E319" s="50">
        <v>1267</v>
      </c>
      <c r="F319" s="49" t="s">
        <v>93</v>
      </c>
      <c r="G319" s="51">
        <v>1</v>
      </c>
      <c r="H319" s="70">
        <v>17.9</v>
      </c>
      <c r="I319" s="70">
        <v>17.9</v>
      </c>
      <c r="J319" s="70">
        <v>0.72</v>
      </c>
      <c r="K319" s="70">
        <v>0.72</v>
      </c>
      <c r="L319" s="73"/>
    </row>
    <row r="320" s="4" customFormat="1" ht="24.95" customHeight="1" spans="1:12">
      <c r="A320" s="20">
        <v>314</v>
      </c>
      <c r="B320" s="65" t="s">
        <v>394</v>
      </c>
      <c r="C320" s="49" t="s">
        <v>414</v>
      </c>
      <c r="D320" s="49" t="s">
        <v>396</v>
      </c>
      <c r="E320" s="50">
        <v>1317</v>
      </c>
      <c r="F320" s="49" t="s">
        <v>93</v>
      </c>
      <c r="G320" s="51">
        <v>2</v>
      </c>
      <c r="H320" s="70">
        <v>18.6</v>
      </c>
      <c r="I320" s="70">
        <v>37.3</v>
      </c>
      <c r="J320" s="70">
        <v>0.75</v>
      </c>
      <c r="K320" s="70">
        <v>1.5</v>
      </c>
      <c r="L320" s="73"/>
    </row>
    <row r="321" s="4" customFormat="1" ht="24.95" customHeight="1" spans="1:12">
      <c r="A321" s="20">
        <v>315</v>
      </c>
      <c r="B321" s="65" t="s">
        <v>394</v>
      </c>
      <c r="C321" s="49" t="s">
        <v>415</v>
      </c>
      <c r="D321" s="49" t="s">
        <v>396</v>
      </c>
      <c r="E321" s="50">
        <v>2691.5</v>
      </c>
      <c r="F321" s="49" t="s">
        <v>93</v>
      </c>
      <c r="G321" s="51">
        <v>1</v>
      </c>
      <c r="H321" s="70">
        <v>39</v>
      </c>
      <c r="I321" s="70">
        <v>39</v>
      </c>
      <c r="J321" s="70">
        <v>1.57</v>
      </c>
      <c r="K321" s="70">
        <v>1.57</v>
      </c>
      <c r="L321" s="73"/>
    </row>
    <row r="322" s="4" customFormat="1" ht="24.95" customHeight="1" spans="1:12">
      <c r="A322" s="20">
        <v>316</v>
      </c>
      <c r="B322" s="65" t="s">
        <v>394</v>
      </c>
      <c r="C322" s="49" t="s">
        <v>416</v>
      </c>
      <c r="D322" s="49" t="s">
        <v>396</v>
      </c>
      <c r="E322" s="50">
        <v>2657</v>
      </c>
      <c r="F322" s="49" t="s">
        <v>93</v>
      </c>
      <c r="G322" s="51">
        <v>9</v>
      </c>
      <c r="H322" s="70">
        <v>38.1</v>
      </c>
      <c r="I322" s="70">
        <v>343.2</v>
      </c>
      <c r="J322" s="70">
        <v>1.53</v>
      </c>
      <c r="K322" s="70">
        <v>13.8</v>
      </c>
      <c r="L322" s="73"/>
    </row>
    <row r="323" s="4" customFormat="1" ht="24.95" customHeight="1" spans="1:12">
      <c r="A323" s="20">
        <v>317</v>
      </c>
      <c r="B323" s="65" t="s">
        <v>394</v>
      </c>
      <c r="C323" s="49" t="s">
        <v>417</v>
      </c>
      <c r="D323" s="49" t="s">
        <v>396</v>
      </c>
      <c r="E323" s="50">
        <v>2791.5</v>
      </c>
      <c r="F323" s="49" t="s">
        <v>93</v>
      </c>
      <c r="G323" s="51">
        <v>4</v>
      </c>
      <c r="H323" s="70">
        <v>40.1</v>
      </c>
      <c r="I323" s="70">
        <v>160.4</v>
      </c>
      <c r="J323" s="70">
        <v>1.61</v>
      </c>
      <c r="K323" s="70">
        <v>6.45</v>
      </c>
      <c r="L323" s="73"/>
    </row>
    <row r="324" s="4" customFormat="1" ht="24.95" customHeight="1" spans="1:12">
      <c r="A324" s="20">
        <v>318</v>
      </c>
      <c r="B324" s="65" t="s">
        <v>394</v>
      </c>
      <c r="C324" s="49" t="s">
        <v>418</v>
      </c>
      <c r="D324" s="49" t="s">
        <v>396</v>
      </c>
      <c r="E324" s="50">
        <v>2656</v>
      </c>
      <c r="F324" s="49" t="s">
        <v>93</v>
      </c>
      <c r="G324" s="51">
        <v>2</v>
      </c>
      <c r="H324" s="70">
        <v>38.1</v>
      </c>
      <c r="I324" s="70">
        <v>76.2</v>
      </c>
      <c r="J324" s="70">
        <v>1.53</v>
      </c>
      <c r="K324" s="70">
        <v>3.06</v>
      </c>
      <c r="L324" s="73"/>
    </row>
    <row r="325" s="4" customFormat="1" ht="24.95" customHeight="1" spans="1:12">
      <c r="A325" s="20">
        <v>319</v>
      </c>
      <c r="B325" s="65" t="s">
        <v>394</v>
      </c>
      <c r="C325" s="49" t="s">
        <v>419</v>
      </c>
      <c r="D325" s="49" t="s">
        <v>396</v>
      </c>
      <c r="E325" s="50">
        <v>2683.5</v>
      </c>
      <c r="F325" s="49" t="s">
        <v>93</v>
      </c>
      <c r="G325" s="51">
        <v>1</v>
      </c>
      <c r="H325" s="70">
        <v>38</v>
      </c>
      <c r="I325" s="70">
        <v>38</v>
      </c>
      <c r="J325" s="70">
        <v>1.53</v>
      </c>
      <c r="K325" s="70">
        <v>1.53</v>
      </c>
      <c r="L325" s="73"/>
    </row>
    <row r="326" s="4" customFormat="1" ht="24.95" customHeight="1" spans="1:12">
      <c r="A326" s="20">
        <v>320</v>
      </c>
      <c r="B326" s="65" t="s">
        <v>394</v>
      </c>
      <c r="C326" s="49" t="s">
        <v>420</v>
      </c>
      <c r="D326" s="49" t="s">
        <v>396</v>
      </c>
      <c r="E326" s="50">
        <v>2785.5</v>
      </c>
      <c r="F326" s="49" t="s">
        <v>93</v>
      </c>
      <c r="G326" s="51">
        <v>1</v>
      </c>
      <c r="H326" s="70">
        <v>39.9</v>
      </c>
      <c r="I326" s="70">
        <v>39.9</v>
      </c>
      <c r="J326" s="70">
        <v>1.61</v>
      </c>
      <c r="K326" s="70">
        <v>1.61</v>
      </c>
      <c r="L326" s="74"/>
    </row>
    <row r="327" s="31" customFormat="1" ht="24.95" customHeight="1" spans="1:13">
      <c r="A327" s="26"/>
      <c r="B327" s="42"/>
      <c r="C327" s="26"/>
      <c r="D327" s="26"/>
      <c r="E327" s="27"/>
      <c r="F327" s="26" t="s">
        <v>522</v>
      </c>
      <c r="G327" s="28">
        <f>SUM(G7:G326)</f>
        <v>4519</v>
      </c>
      <c r="H327" s="29"/>
      <c r="I327" s="29">
        <f>SUM(I7:I326)</f>
        <v>740279.4</v>
      </c>
      <c r="J327" s="29" t="s">
        <v>24</v>
      </c>
      <c r="K327" s="29">
        <f>SUM(K7:K326)</f>
        <v>13205.47</v>
      </c>
      <c r="L327" s="26"/>
      <c r="M327" s="30" t="s">
        <v>523</v>
      </c>
    </row>
    <row r="336" ht="33.75" spans="18:18">
      <c r="R336" s="75"/>
    </row>
  </sheetData>
  <mergeCells count="11">
    <mergeCell ref="A1:L1"/>
    <mergeCell ref="A2:G2"/>
    <mergeCell ref="H2:L2"/>
    <mergeCell ref="A3:B3"/>
    <mergeCell ref="C3:L3"/>
    <mergeCell ref="A4:B4"/>
    <mergeCell ref="C4:L4"/>
    <mergeCell ref="A5:B5"/>
    <mergeCell ref="C5:L5"/>
    <mergeCell ref="L240:L264"/>
    <mergeCell ref="L303:L326"/>
  </mergeCells>
  <conditionalFormatting sqref="C240:C264">
    <cfRule type="duplicateValues" dxfId="0" priority="1"/>
  </conditionalFormatting>
  <printOptions horizontalCentered="1"/>
  <pageMargins left="0.590551181102362" right="0.196850393700787" top="0.393700787401575" bottom="0.393700787401575" header="0.511811023622047" footer="0.15748031496063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C000"/>
  </sheetPr>
  <dimension ref="A1:U31"/>
  <sheetViews>
    <sheetView view="pageBreakPreview" zoomScale="55" zoomScaleNormal="100" workbookViewId="0">
      <pane ySplit="6" topLeftCell="A7" activePane="bottomLeft" state="frozen"/>
      <selection/>
      <selection pane="bottomLeft" activeCell="B7" sqref="B7:L30"/>
    </sheetView>
  </sheetViews>
  <sheetFormatPr defaultColWidth="9" defaultRowHeight="14.25"/>
  <cols>
    <col min="1" max="1" width="5.625" style="5" customWidth="1"/>
    <col min="2" max="2" width="15.625" style="6" customWidth="1"/>
    <col min="3" max="3" width="15.625" style="5" customWidth="1"/>
    <col min="4" max="4" width="25.625" style="5" customWidth="1"/>
    <col min="5" max="5" width="12.625" style="32" customWidth="1"/>
    <col min="6" max="6" width="12.625" style="5" customWidth="1"/>
    <col min="7" max="7" width="12.625" style="33" customWidth="1"/>
    <col min="8" max="8" width="12.625" style="34" customWidth="1"/>
    <col min="9" max="9" width="17.625" style="11" customWidth="1"/>
    <col min="10" max="10" width="13.625" style="43" customWidth="1"/>
    <col min="11" max="11" width="15.625" style="43" customWidth="1"/>
    <col min="12" max="12" width="15.625" style="35" customWidth="1"/>
    <col min="13" max="16384" width="9" style="12"/>
  </cols>
  <sheetData>
    <row r="1" ht="30" customHeight="1" spans="1:12">
      <c r="A1" s="13" t="s">
        <v>0</v>
      </c>
      <c r="B1" s="13"/>
      <c r="C1" s="13"/>
      <c r="D1" s="13"/>
      <c r="E1" s="13"/>
      <c r="F1" s="13"/>
      <c r="G1" s="13"/>
      <c r="H1" s="14"/>
      <c r="I1" s="13"/>
      <c r="J1" s="13"/>
      <c r="K1" s="13"/>
      <c r="L1" s="13"/>
    </row>
    <row r="2" ht="50.1" customHeight="1" spans="1:12">
      <c r="A2" s="15" t="str">
        <f>清单封面!E13</f>
        <v>构件清单-2</v>
      </c>
      <c r="B2" s="15"/>
      <c r="C2" s="15"/>
      <c r="D2" s="15"/>
      <c r="E2" s="15"/>
      <c r="F2" s="15"/>
      <c r="G2" s="15"/>
      <c r="H2" s="16" t="str">
        <f>清单封面!F13</f>
        <v>(外购材料构件)</v>
      </c>
      <c r="I2" s="16"/>
      <c r="J2" s="16"/>
      <c r="K2" s="16"/>
      <c r="L2" s="16"/>
    </row>
    <row r="3" s="1" customFormat="1" ht="24.95" customHeight="1" spans="1:12">
      <c r="A3" s="3"/>
      <c r="B3" s="3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="2" customFormat="1" ht="24.95" customHeight="1" spans="1:12">
      <c r="A4" s="13" t="str">
        <f>清单封面!B7</f>
        <v>工 程 名 称：</v>
      </c>
      <c r="B4" s="13"/>
      <c r="C4" s="13" t="str">
        <f>清单封面!C7</f>
        <v>第三选矿区C栋宿舍</v>
      </c>
      <c r="D4" s="13"/>
      <c r="E4" s="13"/>
      <c r="F4" s="13"/>
      <c r="G4" s="13"/>
      <c r="H4" s="13"/>
      <c r="I4" s="13"/>
      <c r="J4" s="13"/>
      <c r="K4" s="13"/>
      <c r="L4" s="13"/>
    </row>
    <row r="5" s="2" customFormat="1" ht="24.95" customHeight="1" spans="1:12">
      <c r="A5" s="13" t="str">
        <f>清单封面!B8</f>
        <v>工 程 编 号：</v>
      </c>
      <c r="B5" s="13"/>
      <c r="C5" s="63" t="str">
        <f>清单封面!I13</f>
        <v>HA24575W</v>
      </c>
      <c r="D5" s="63"/>
      <c r="E5" s="63"/>
      <c r="F5" s="63"/>
      <c r="G5" s="63"/>
      <c r="H5" s="63"/>
      <c r="I5" s="63"/>
      <c r="J5" s="63"/>
      <c r="K5" s="63"/>
      <c r="L5" s="63"/>
    </row>
    <row r="6" s="3" customFormat="1" ht="24.95" customHeight="1" spans="1:12">
      <c r="A6" s="18" t="s">
        <v>13</v>
      </c>
      <c r="B6" s="59" t="s">
        <v>82</v>
      </c>
      <c r="C6" s="18" t="s">
        <v>83</v>
      </c>
      <c r="D6" s="18" t="s">
        <v>84</v>
      </c>
      <c r="E6" s="18" t="s">
        <v>85</v>
      </c>
      <c r="F6" s="18" t="s">
        <v>73</v>
      </c>
      <c r="G6" s="18" t="s">
        <v>72</v>
      </c>
      <c r="H6" s="19" t="s">
        <v>86</v>
      </c>
      <c r="I6" s="19" t="s">
        <v>87</v>
      </c>
      <c r="J6" s="19" t="s">
        <v>88</v>
      </c>
      <c r="K6" s="19" t="s">
        <v>89</v>
      </c>
      <c r="L6" s="19" t="s">
        <v>16</v>
      </c>
    </row>
    <row r="7" s="4" customFormat="1" ht="24.95" customHeight="1" spans="1:12">
      <c r="A7" s="20">
        <v>1</v>
      </c>
      <c r="B7" s="38"/>
      <c r="C7" s="39"/>
      <c r="D7" s="39"/>
      <c r="E7" s="40"/>
      <c r="F7" s="39"/>
      <c r="G7" s="46"/>
      <c r="H7" s="64"/>
      <c r="I7" s="64"/>
      <c r="J7" s="64"/>
      <c r="K7" s="64"/>
      <c r="L7" s="38"/>
    </row>
    <row r="8" s="4" customFormat="1" ht="24.95" customHeight="1" spans="1:12">
      <c r="A8" s="20">
        <v>2</v>
      </c>
      <c r="B8" s="38"/>
      <c r="C8" s="39"/>
      <c r="D8" s="39"/>
      <c r="E8" s="40"/>
      <c r="F8" s="39"/>
      <c r="G8" s="46"/>
      <c r="H8" s="64"/>
      <c r="I8" s="64"/>
      <c r="J8" s="64"/>
      <c r="K8" s="64"/>
      <c r="L8" s="38"/>
    </row>
    <row r="9" s="4" customFormat="1" ht="24.95" customHeight="1" spans="1:12">
      <c r="A9" s="20">
        <v>3</v>
      </c>
      <c r="B9" s="38"/>
      <c r="C9" s="39"/>
      <c r="D9" s="39"/>
      <c r="E9" s="40"/>
      <c r="F9" s="39"/>
      <c r="G9" s="46"/>
      <c r="H9" s="64"/>
      <c r="I9" s="64"/>
      <c r="J9" s="64"/>
      <c r="K9" s="64"/>
      <c r="L9" s="38"/>
    </row>
    <row r="10" s="4" customFormat="1" ht="24.95" customHeight="1" spans="1:12">
      <c r="A10" s="20">
        <v>4</v>
      </c>
      <c r="B10" s="38"/>
      <c r="C10" s="39"/>
      <c r="D10" s="39"/>
      <c r="E10" s="40"/>
      <c r="F10" s="39"/>
      <c r="G10" s="46"/>
      <c r="H10" s="64"/>
      <c r="I10" s="64"/>
      <c r="J10" s="64"/>
      <c r="K10" s="64"/>
      <c r="L10" s="38"/>
    </row>
    <row r="11" s="4" customFormat="1" ht="24.95" customHeight="1" spans="1:12">
      <c r="A11" s="20">
        <v>5</v>
      </c>
      <c r="B11" s="38"/>
      <c r="C11" s="39"/>
      <c r="D11" s="39"/>
      <c r="E11" s="40"/>
      <c r="F11" s="39"/>
      <c r="G11" s="46"/>
      <c r="H11" s="64"/>
      <c r="I11" s="64"/>
      <c r="J11" s="64"/>
      <c r="K11" s="64"/>
      <c r="L11" s="38"/>
    </row>
    <row r="12" s="4" customFormat="1" ht="24.95" customHeight="1" spans="1:12">
      <c r="A12" s="20">
        <v>6</v>
      </c>
      <c r="B12" s="38"/>
      <c r="C12" s="39"/>
      <c r="D12" s="39"/>
      <c r="E12" s="40"/>
      <c r="F12" s="39"/>
      <c r="G12" s="46"/>
      <c r="H12" s="64"/>
      <c r="I12" s="64"/>
      <c r="J12" s="64"/>
      <c r="K12" s="64"/>
      <c r="L12" s="38"/>
    </row>
    <row r="13" s="4" customFormat="1" ht="24.95" customHeight="1" spans="1:12">
      <c r="A13" s="20">
        <v>7</v>
      </c>
      <c r="B13" s="38"/>
      <c r="C13" s="39"/>
      <c r="D13" s="39"/>
      <c r="E13" s="40"/>
      <c r="F13" s="39"/>
      <c r="G13" s="46"/>
      <c r="H13" s="64"/>
      <c r="I13" s="64"/>
      <c r="J13" s="64"/>
      <c r="K13" s="64"/>
      <c r="L13" s="38"/>
    </row>
    <row r="14" s="4" customFormat="1" ht="24.95" customHeight="1" spans="1:12">
      <c r="A14" s="20">
        <v>8</v>
      </c>
      <c r="B14" s="38"/>
      <c r="C14" s="39"/>
      <c r="D14" s="39"/>
      <c r="E14" s="40"/>
      <c r="F14" s="39"/>
      <c r="G14" s="46"/>
      <c r="H14" s="64"/>
      <c r="I14" s="64"/>
      <c r="J14" s="64"/>
      <c r="K14" s="64"/>
      <c r="L14" s="38"/>
    </row>
    <row r="15" s="4" customFormat="1" ht="24.95" customHeight="1" spans="1:12">
      <c r="A15" s="20">
        <v>9</v>
      </c>
      <c r="B15" s="38"/>
      <c r="C15" s="39"/>
      <c r="D15" s="39"/>
      <c r="E15" s="40"/>
      <c r="F15" s="39"/>
      <c r="G15" s="46"/>
      <c r="H15" s="64"/>
      <c r="I15" s="64"/>
      <c r="J15" s="64"/>
      <c r="K15" s="64"/>
      <c r="L15" s="38"/>
    </row>
    <row r="16" s="4" customFormat="1" ht="24.95" customHeight="1" spans="1:12">
      <c r="A16" s="20">
        <v>10</v>
      </c>
      <c r="B16" s="38"/>
      <c r="C16" s="39"/>
      <c r="D16" s="39"/>
      <c r="E16" s="40"/>
      <c r="F16" s="39"/>
      <c r="G16" s="46"/>
      <c r="H16" s="64"/>
      <c r="I16" s="64"/>
      <c r="J16" s="64"/>
      <c r="K16" s="64"/>
      <c r="L16" s="38"/>
    </row>
    <row r="17" s="4" customFormat="1" ht="24.95" customHeight="1" spans="1:12">
      <c r="A17" s="20">
        <v>11</v>
      </c>
      <c r="B17" s="38"/>
      <c r="C17" s="39"/>
      <c r="D17" s="39"/>
      <c r="E17" s="40"/>
      <c r="F17" s="39"/>
      <c r="G17" s="46"/>
      <c r="H17" s="64"/>
      <c r="I17" s="64"/>
      <c r="J17" s="64"/>
      <c r="K17" s="64"/>
      <c r="L17" s="38"/>
    </row>
    <row r="18" s="4" customFormat="1" ht="24.95" customHeight="1" spans="1:12">
      <c r="A18" s="20">
        <v>12</v>
      </c>
      <c r="B18" s="38"/>
      <c r="C18" s="39"/>
      <c r="D18" s="39"/>
      <c r="E18" s="40"/>
      <c r="F18" s="39"/>
      <c r="G18" s="46"/>
      <c r="H18" s="64"/>
      <c r="I18" s="64"/>
      <c r="J18" s="64"/>
      <c r="K18" s="64"/>
      <c r="L18" s="38"/>
    </row>
    <row r="19" s="4" customFormat="1" ht="24.95" customHeight="1" spans="1:12">
      <c r="A19" s="20">
        <v>13</v>
      </c>
      <c r="B19" s="38"/>
      <c r="C19" s="39"/>
      <c r="D19" s="39"/>
      <c r="E19" s="40"/>
      <c r="F19" s="39"/>
      <c r="G19" s="46"/>
      <c r="H19" s="64"/>
      <c r="I19" s="64"/>
      <c r="J19" s="64"/>
      <c r="K19" s="64"/>
      <c r="L19" s="38"/>
    </row>
    <row r="20" s="4" customFormat="1" ht="24.95" customHeight="1" spans="1:12">
      <c r="A20" s="20">
        <v>14</v>
      </c>
      <c r="B20" s="38"/>
      <c r="C20" s="39"/>
      <c r="D20" s="39"/>
      <c r="E20" s="40"/>
      <c r="F20" s="39"/>
      <c r="G20" s="46"/>
      <c r="H20" s="64"/>
      <c r="I20" s="64"/>
      <c r="J20" s="64"/>
      <c r="K20" s="64"/>
      <c r="L20" s="38"/>
    </row>
    <row r="21" s="4" customFormat="1" ht="24.95" customHeight="1" spans="1:12">
      <c r="A21" s="20">
        <v>15</v>
      </c>
      <c r="B21" s="38"/>
      <c r="C21" s="39"/>
      <c r="D21" s="39"/>
      <c r="E21" s="40"/>
      <c r="F21" s="39"/>
      <c r="G21" s="46"/>
      <c r="H21" s="64"/>
      <c r="I21" s="64"/>
      <c r="J21" s="64"/>
      <c r="K21" s="64"/>
      <c r="L21" s="38"/>
    </row>
    <row r="22" s="4" customFormat="1" ht="24.95" customHeight="1" spans="1:12">
      <c r="A22" s="20">
        <v>16</v>
      </c>
      <c r="B22" s="38"/>
      <c r="C22" s="39"/>
      <c r="D22" s="39"/>
      <c r="E22" s="40"/>
      <c r="F22" s="39"/>
      <c r="G22" s="46"/>
      <c r="H22" s="64"/>
      <c r="I22" s="64"/>
      <c r="J22" s="64"/>
      <c r="K22" s="64"/>
      <c r="L22" s="38"/>
    </row>
    <row r="23" s="4" customFormat="1" ht="24.95" customHeight="1" spans="1:12">
      <c r="A23" s="20">
        <v>17</v>
      </c>
      <c r="B23" s="38"/>
      <c r="C23" s="39"/>
      <c r="D23" s="39"/>
      <c r="E23" s="40"/>
      <c r="F23" s="39"/>
      <c r="G23" s="46"/>
      <c r="H23" s="64"/>
      <c r="I23" s="64"/>
      <c r="J23" s="64"/>
      <c r="K23" s="64"/>
      <c r="L23" s="38"/>
    </row>
    <row r="24" s="4" customFormat="1" ht="24.95" customHeight="1" spans="1:21">
      <c r="A24" s="20">
        <v>18</v>
      </c>
      <c r="B24" s="38"/>
      <c r="C24" s="39"/>
      <c r="D24" s="39"/>
      <c r="E24" s="40"/>
      <c r="F24" s="39"/>
      <c r="G24" s="46"/>
      <c r="H24" s="64"/>
      <c r="I24" s="64"/>
      <c r="J24" s="64"/>
      <c r="K24" s="64"/>
      <c r="L24" s="38"/>
      <c r="U24" s="4" t="s">
        <v>525</v>
      </c>
    </row>
    <row r="25" s="4" customFormat="1" ht="24.95" customHeight="1" spans="1:12">
      <c r="A25" s="20">
        <v>19</v>
      </c>
      <c r="B25" s="38"/>
      <c r="C25" s="39"/>
      <c r="D25" s="39"/>
      <c r="E25" s="40"/>
      <c r="F25" s="39"/>
      <c r="G25" s="46"/>
      <c r="H25" s="64"/>
      <c r="I25" s="64"/>
      <c r="J25" s="64"/>
      <c r="K25" s="64"/>
      <c r="L25" s="38"/>
    </row>
    <row r="26" s="4" customFormat="1" ht="24.95" customHeight="1" spans="1:12">
      <c r="A26" s="20">
        <v>20</v>
      </c>
      <c r="B26" s="38"/>
      <c r="C26" s="39"/>
      <c r="D26" s="39"/>
      <c r="E26" s="40"/>
      <c r="F26" s="39"/>
      <c r="G26" s="46"/>
      <c r="H26" s="64"/>
      <c r="I26" s="64"/>
      <c r="J26" s="64"/>
      <c r="K26" s="64"/>
      <c r="L26" s="38"/>
    </row>
    <row r="27" s="4" customFormat="1" ht="24.95" customHeight="1" spans="1:12">
      <c r="A27" s="20">
        <v>21</v>
      </c>
      <c r="B27" s="38"/>
      <c r="C27" s="39"/>
      <c r="D27" s="39"/>
      <c r="E27" s="40"/>
      <c r="F27" s="39"/>
      <c r="G27" s="46"/>
      <c r="H27" s="64"/>
      <c r="I27" s="64"/>
      <c r="J27" s="64"/>
      <c r="K27" s="64"/>
      <c r="L27" s="38"/>
    </row>
    <row r="28" s="4" customFormat="1" ht="24.95" customHeight="1" spans="1:12">
      <c r="A28" s="20">
        <v>22</v>
      </c>
      <c r="B28" s="38"/>
      <c r="C28" s="39"/>
      <c r="D28" s="39"/>
      <c r="E28" s="40"/>
      <c r="F28" s="39"/>
      <c r="G28" s="46"/>
      <c r="H28" s="64"/>
      <c r="I28" s="64"/>
      <c r="J28" s="64"/>
      <c r="K28" s="64"/>
      <c r="L28" s="38"/>
    </row>
    <row r="29" s="4" customFormat="1" ht="24.95" customHeight="1" spans="1:12">
      <c r="A29" s="20">
        <v>23</v>
      </c>
      <c r="B29" s="38"/>
      <c r="C29" s="39"/>
      <c r="D29" s="39"/>
      <c r="E29" s="40"/>
      <c r="F29" s="39"/>
      <c r="G29" s="46"/>
      <c r="H29" s="64"/>
      <c r="I29" s="64"/>
      <c r="J29" s="64"/>
      <c r="K29" s="64"/>
      <c r="L29" s="38"/>
    </row>
    <row r="30" s="4" customFormat="1" ht="24.95" customHeight="1" spans="1:12">
      <c r="A30" s="20">
        <v>24</v>
      </c>
      <c r="B30" s="38"/>
      <c r="C30" s="39"/>
      <c r="D30" s="39"/>
      <c r="E30" s="40"/>
      <c r="F30" s="39"/>
      <c r="G30" s="46"/>
      <c r="H30" s="64"/>
      <c r="I30" s="64"/>
      <c r="J30" s="64"/>
      <c r="K30" s="64"/>
      <c r="L30" s="38"/>
    </row>
    <row r="31" s="31" customFormat="1" ht="24.95" customHeight="1" spans="1:13">
      <c r="A31" s="26"/>
      <c r="B31" s="42"/>
      <c r="C31" s="26"/>
      <c r="D31" s="26"/>
      <c r="E31" s="27"/>
      <c r="F31" s="26" t="s">
        <v>522</v>
      </c>
      <c r="G31" s="28">
        <f>SUM(G7:G30)</f>
        <v>0</v>
      </c>
      <c r="H31" s="29"/>
      <c r="I31" s="29">
        <f>SUM(I7:I30)</f>
        <v>0</v>
      </c>
      <c r="J31" s="29" t="s">
        <v>24</v>
      </c>
      <c r="K31" s="29">
        <f>SUM(K7:K30)</f>
        <v>0</v>
      </c>
      <c r="L31" s="26"/>
      <c r="M31" s="30" t="s">
        <v>523</v>
      </c>
    </row>
  </sheetData>
  <mergeCells count="9">
    <mergeCell ref="A1:L1"/>
    <mergeCell ref="A2:G2"/>
    <mergeCell ref="H2:L2"/>
    <mergeCell ref="A3:B3"/>
    <mergeCell ref="C3:L3"/>
    <mergeCell ref="A4:B4"/>
    <mergeCell ref="C4:L4"/>
    <mergeCell ref="A5:B5"/>
    <mergeCell ref="C5:L5"/>
  </mergeCells>
  <printOptions horizontalCentered="1"/>
  <pageMargins left="0.590551181102362" right="0.196850393700787" top="0.393700787401575" bottom="0.393700787401575" header="0.511811023622047" footer="0.15748031496063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FFC000"/>
  </sheetPr>
  <dimension ref="A1:M42"/>
  <sheetViews>
    <sheetView view="pageBreakPreview" zoomScale="55" zoomScaleNormal="100" workbookViewId="0">
      <pane ySplit="6" topLeftCell="A10" activePane="bottomLeft" state="frozen"/>
      <selection/>
      <selection pane="bottomLeft" activeCell="I41" sqref="I41"/>
    </sheetView>
  </sheetViews>
  <sheetFormatPr defaultColWidth="9" defaultRowHeight="14.25"/>
  <cols>
    <col min="1" max="1" width="5.625" style="5" customWidth="1"/>
    <col min="2" max="2" width="15.625" style="6" customWidth="1"/>
    <col min="3" max="3" width="15.625" style="5" customWidth="1"/>
    <col min="4" max="4" width="25.625" style="5" customWidth="1"/>
    <col min="5" max="5" width="12.625" style="32" customWidth="1"/>
    <col min="6" max="6" width="12.625" style="5" customWidth="1"/>
    <col min="7" max="7" width="12.625" style="33" customWidth="1"/>
    <col min="8" max="8" width="12.625" style="34" customWidth="1"/>
    <col min="9" max="9" width="17.625" style="11" customWidth="1"/>
    <col min="10" max="10" width="13.625" style="43" customWidth="1"/>
    <col min="11" max="11" width="15.625" style="43" customWidth="1"/>
    <col min="12" max="12" width="15.625" style="35" customWidth="1"/>
    <col min="13" max="16384" width="9" style="12"/>
  </cols>
  <sheetData>
    <row r="1" ht="30" customHeight="1" spans="1:12">
      <c r="A1" s="13" t="s">
        <v>0</v>
      </c>
      <c r="B1" s="13"/>
      <c r="C1" s="13"/>
      <c r="D1" s="13"/>
      <c r="E1" s="13"/>
      <c r="F1" s="13"/>
      <c r="G1" s="13"/>
      <c r="H1" s="14"/>
      <c r="I1" s="13"/>
      <c r="J1" s="13"/>
      <c r="K1" s="13"/>
      <c r="L1" s="13"/>
    </row>
    <row r="2" ht="50.1" customHeight="1" spans="1:12">
      <c r="A2" s="15" t="str">
        <f>清单封面!E14</f>
        <v>构件清单-3</v>
      </c>
      <c r="B2" s="15"/>
      <c r="C2" s="15"/>
      <c r="D2" s="15"/>
      <c r="E2" s="15"/>
      <c r="F2" s="15"/>
      <c r="G2" s="15"/>
      <c r="H2" s="16" t="str">
        <f>清单封面!F14</f>
        <v>(箱型构件)</v>
      </c>
      <c r="I2" s="16"/>
      <c r="J2" s="16"/>
      <c r="K2" s="16"/>
      <c r="L2" s="16"/>
    </row>
    <row r="3" s="1" customFormat="1" ht="24.95" customHeight="1" spans="1:12">
      <c r="A3" s="3"/>
      <c r="B3" s="3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="2" customFormat="1" ht="24.95" customHeight="1" spans="1:12">
      <c r="A4" s="13" t="str">
        <f>清单封面!B7</f>
        <v>工 程 名 称：</v>
      </c>
      <c r="B4" s="13"/>
      <c r="C4" s="13" t="str">
        <f>清单封面!C7</f>
        <v>第三选矿区C栋宿舍</v>
      </c>
      <c r="D4" s="13"/>
      <c r="E4" s="13"/>
      <c r="F4" s="13"/>
      <c r="G4" s="13"/>
      <c r="H4" s="13"/>
      <c r="I4" s="13"/>
      <c r="J4" s="13"/>
      <c r="K4" s="13"/>
      <c r="L4" s="13"/>
    </row>
    <row r="5" s="2" customFormat="1" ht="24.95" customHeight="1" spans="1:12">
      <c r="A5" s="13" t="str">
        <f>清单封面!B8</f>
        <v>工 程 编 号：</v>
      </c>
      <c r="B5" s="13"/>
      <c r="C5" s="63" t="str">
        <f>清单封面!I14</f>
        <v>HA24575X</v>
      </c>
      <c r="D5" s="63"/>
      <c r="E5" s="63"/>
      <c r="F5" s="63"/>
      <c r="G5" s="63"/>
      <c r="H5" s="63"/>
      <c r="I5" s="63"/>
      <c r="J5" s="63"/>
      <c r="K5" s="63"/>
      <c r="L5" s="63"/>
    </row>
    <row r="6" s="3" customFormat="1" ht="24.95" customHeight="1" spans="1:12">
      <c r="A6" s="18" t="s">
        <v>13</v>
      </c>
      <c r="B6" s="59" t="s">
        <v>82</v>
      </c>
      <c r="C6" s="18" t="s">
        <v>83</v>
      </c>
      <c r="D6" s="18" t="s">
        <v>84</v>
      </c>
      <c r="E6" s="18" t="s">
        <v>85</v>
      </c>
      <c r="F6" s="18" t="s">
        <v>73</v>
      </c>
      <c r="G6" s="18" t="s">
        <v>72</v>
      </c>
      <c r="H6" s="19" t="s">
        <v>86</v>
      </c>
      <c r="I6" s="19" t="s">
        <v>87</v>
      </c>
      <c r="J6" s="19" t="s">
        <v>88</v>
      </c>
      <c r="K6" s="19" t="s">
        <v>89</v>
      </c>
      <c r="L6" s="19" t="s">
        <v>16</v>
      </c>
    </row>
    <row r="7" s="4" customFormat="1" ht="24.95" customHeight="1" spans="1:12">
      <c r="A7" s="20">
        <v>1</v>
      </c>
      <c r="B7" s="20"/>
      <c r="C7" s="20"/>
      <c r="D7" s="60"/>
      <c r="E7" s="61"/>
      <c r="F7" s="60"/>
      <c r="G7" s="60"/>
      <c r="H7" s="67"/>
      <c r="I7" s="67"/>
      <c r="J7" s="67"/>
      <c r="K7" s="67"/>
      <c r="L7" s="20"/>
    </row>
    <row r="8" s="4" customFormat="1" ht="24.95" customHeight="1" spans="1:12">
      <c r="A8" s="20">
        <v>2</v>
      </c>
      <c r="B8" s="20"/>
      <c r="C8" s="60"/>
      <c r="D8" s="60"/>
      <c r="E8" s="61"/>
      <c r="F8" s="60"/>
      <c r="G8" s="60"/>
      <c r="H8" s="67"/>
      <c r="I8" s="67"/>
      <c r="J8" s="67"/>
      <c r="K8" s="67"/>
      <c r="L8" s="20"/>
    </row>
    <row r="9" s="4" customFormat="1" ht="24.95" customHeight="1" spans="1:12">
      <c r="A9" s="20">
        <v>3</v>
      </c>
      <c r="B9" s="20"/>
      <c r="C9" s="60"/>
      <c r="D9" s="60"/>
      <c r="E9" s="61"/>
      <c r="F9" s="60"/>
      <c r="G9" s="60"/>
      <c r="H9" s="67"/>
      <c r="I9" s="67"/>
      <c r="J9" s="67"/>
      <c r="K9" s="67"/>
      <c r="L9" s="20"/>
    </row>
    <row r="10" s="4" customFormat="1" ht="24.95" customHeight="1" spans="1:12">
      <c r="A10" s="20">
        <v>4</v>
      </c>
      <c r="B10" s="20"/>
      <c r="C10" s="60"/>
      <c r="D10" s="60"/>
      <c r="E10" s="61"/>
      <c r="F10" s="60"/>
      <c r="G10" s="60"/>
      <c r="H10" s="67"/>
      <c r="I10" s="67"/>
      <c r="J10" s="67"/>
      <c r="K10" s="67"/>
      <c r="L10" s="20"/>
    </row>
    <row r="11" s="4" customFormat="1" ht="24.95" customHeight="1" spans="1:12">
      <c r="A11" s="20">
        <v>5</v>
      </c>
      <c r="B11" s="20"/>
      <c r="C11" s="60"/>
      <c r="D11" s="60"/>
      <c r="E11" s="61"/>
      <c r="F11" s="60"/>
      <c r="G11" s="60"/>
      <c r="H11" s="67"/>
      <c r="I11" s="67"/>
      <c r="J11" s="67"/>
      <c r="K11" s="67"/>
      <c r="L11" s="20"/>
    </row>
    <row r="12" s="4" customFormat="1" ht="24.95" customHeight="1" spans="1:12">
      <c r="A12" s="20">
        <v>6</v>
      </c>
      <c r="B12" s="20"/>
      <c r="C12" s="60"/>
      <c r="D12" s="60"/>
      <c r="E12" s="61"/>
      <c r="F12" s="60"/>
      <c r="G12" s="60"/>
      <c r="H12" s="67"/>
      <c r="I12" s="67"/>
      <c r="J12" s="67"/>
      <c r="K12" s="67"/>
      <c r="L12" s="20"/>
    </row>
    <row r="13" s="4" customFormat="1" ht="24.95" customHeight="1" spans="1:12">
      <c r="A13" s="20">
        <v>7</v>
      </c>
      <c r="B13" s="20"/>
      <c r="C13" s="60"/>
      <c r="D13" s="60"/>
      <c r="E13" s="61"/>
      <c r="F13" s="60"/>
      <c r="G13" s="60"/>
      <c r="H13" s="67"/>
      <c r="I13" s="67"/>
      <c r="J13" s="67"/>
      <c r="K13" s="67"/>
      <c r="L13" s="20"/>
    </row>
    <row r="14" s="4" customFormat="1" ht="24.95" customHeight="1" spans="1:12">
      <c r="A14" s="20">
        <v>8</v>
      </c>
      <c r="B14" s="20"/>
      <c r="C14" s="60"/>
      <c r="D14" s="60"/>
      <c r="E14" s="61"/>
      <c r="F14" s="60"/>
      <c r="G14" s="60"/>
      <c r="H14" s="67"/>
      <c r="I14" s="67"/>
      <c r="J14" s="67"/>
      <c r="K14" s="67"/>
      <c r="L14" s="20"/>
    </row>
    <row r="15" s="4" customFormat="1" ht="24.95" customHeight="1" spans="1:12">
      <c r="A15" s="20">
        <v>9</v>
      </c>
      <c r="B15" s="20"/>
      <c r="C15" s="60"/>
      <c r="D15" s="60"/>
      <c r="E15" s="61"/>
      <c r="F15" s="60"/>
      <c r="G15" s="60"/>
      <c r="H15" s="67"/>
      <c r="I15" s="67"/>
      <c r="J15" s="67"/>
      <c r="K15" s="67"/>
      <c r="L15" s="20"/>
    </row>
    <row r="16" s="4" customFormat="1" ht="24.95" customHeight="1" spans="1:12">
      <c r="A16" s="20">
        <v>10</v>
      </c>
      <c r="B16" s="20"/>
      <c r="C16" s="60"/>
      <c r="D16" s="60"/>
      <c r="E16" s="61"/>
      <c r="F16" s="60"/>
      <c r="G16" s="60"/>
      <c r="H16" s="67"/>
      <c r="I16" s="67"/>
      <c r="J16" s="67"/>
      <c r="K16" s="67"/>
      <c r="L16" s="20"/>
    </row>
    <row r="17" s="4" customFormat="1" ht="24.95" customHeight="1" spans="1:12">
      <c r="A17" s="20">
        <v>11</v>
      </c>
      <c r="B17" s="20"/>
      <c r="C17" s="60"/>
      <c r="D17" s="60"/>
      <c r="E17" s="61"/>
      <c r="F17" s="60"/>
      <c r="G17" s="60"/>
      <c r="H17" s="67"/>
      <c r="I17" s="67"/>
      <c r="J17" s="67"/>
      <c r="K17" s="67"/>
      <c r="L17" s="20"/>
    </row>
    <row r="18" s="4" customFormat="1" ht="24.95" customHeight="1" spans="1:12">
      <c r="A18" s="20">
        <v>12</v>
      </c>
      <c r="B18" s="20"/>
      <c r="C18" s="60"/>
      <c r="D18" s="60"/>
      <c r="E18" s="61"/>
      <c r="F18" s="60"/>
      <c r="G18" s="60"/>
      <c r="H18" s="67"/>
      <c r="I18" s="67"/>
      <c r="J18" s="67"/>
      <c r="K18" s="67"/>
      <c r="L18" s="20"/>
    </row>
    <row r="19" s="4" customFormat="1" ht="24.95" customHeight="1" spans="1:12">
      <c r="A19" s="20">
        <v>13</v>
      </c>
      <c r="B19" s="20"/>
      <c r="C19" s="60"/>
      <c r="D19" s="60"/>
      <c r="E19" s="61"/>
      <c r="F19" s="60"/>
      <c r="G19" s="60"/>
      <c r="H19" s="67"/>
      <c r="I19" s="67"/>
      <c r="J19" s="67"/>
      <c r="K19" s="67"/>
      <c r="L19" s="20"/>
    </row>
    <row r="20" s="4" customFormat="1" ht="24.95" customHeight="1" spans="1:12">
      <c r="A20" s="20">
        <v>14</v>
      </c>
      <c r="B20" s="20"/>
      <c r="C20" s="60"/>
      <c r="D20" s="60"/>
      <c r="E20" s="61"/>
      <c r="F20" s="60"/>
      <c r="G20" s="60"/>
      <c r="H20" s="67"/>
      <c r="I20" s="67"/>
      <c r="J20" s="67"/>
      <c r="K20" s="67"/>
      <c r="L20" s="20"/>
    </row>
    <row r="21" s="4" customFormat="1" ht="24.95" customHeight="1" spans="1:12">
      <c r="A21" s="20">
        <v>15</v>
      </c>
      <c r="B21" s="20"/>
      <c r="C21" s="60"/>
      <c r="D21" s="60"/>
      <c r="E21" s="61"/>
      <c r="F21" s="60"/>
      <c r="G21" s="60"/>
      <c r="H21" s="67"/>
      <c r="I21" s="67"/>
      <c r="J21" s="67"/>
      <c r="K21" s="67"/>
      <c r="L21" s="20"/>
    </row>
    <row r="22" s="4" customFormat="1" ht="24.95" customHeight="1" spans="1:12">
      <c r="A22" s="20">
        <v>16</v>
      </c>
      <c r="B22" s="20"/>
      <c r="C22" s="60"/>
      <c r="D22" s="60"/>
      <c r="E22" s="61"/>
      <c r="F22" s="60"/>
      <c r="G22" s="60"/>
      <c r="H22" s="67"/>
      <c r="I22" s="67"/>
      <c r="J22" s="67"/>
      <c r="K22" s="67"/>
      <c r="L22" s="20"/>
    </row>
    <row r="23" s="4" customFormat="1" ht="24.95" customHeight="1" spans="1:12">
      <c r="A23" s="20">
        <v>17</v>
      </c>
      <c r="B23" s="20"/>
      <c r="C23" s="60"/>
      <c r="D23" s="60"/>
      <c r="E23" s="61"/>
      <c r="F23" s="60"/>
      <c r="G23" s="60"/>
      <c r="H23" s="67"/>
      <c r="I23" s="67"/>
      <c r="J23" s="67"/>
      <c r="K23" s="67"/>
      <c r="L23" s="20"/>
    </row>
    <row r="24" s="4" customFormat="1" ht="24.95" customHeight="1" spans="1:12">
      <c r="A24" s="20">
        <v>18</v>
      </c>
      <c r="B24" s="20"/>
      <c r="C24" s="60"/>
      <c r="D24" s="60"/>
      <c r="E24" s="61"/>
      <c r="F24" s="60"/>
      <c r="G24" s="60"/>
      <c r="H24" s="67"/>
      <c r="I24" s="67"/>
      <c r="J24" s="67"/>
      <c r="K24" s="67"/>
      <c r="L24" s="20"/>
    </row>
    <row r="25" s="4" customFormat="1" ht="24.95" customHeight="1" spans="1:12">
      <c r="A25" s="20">
        <v>19</v>
      </c>
      <c r="B25" s="20"/>
      <c r="C25" s="60"/>
      <c r="D25" s="60"/>
      <c r="E25" s="61"/>
      <c r="F25" s="60"/>
      <c r="G25" s="60"/>
      <c r="H25" s="67"/>
      <c r="I25" s="67"/>
      <c r="J25" s="67"/>
      <c r="K25" s="67"/>
      <c r="L25" s="20"/>
    </row>
    <row r="26" s="4" customFormat="1" ht="24.95" customHeight="1" spans="1:12">
      <c r="A26" s="20">
        <v>20</v>
      </c>
      <c r="B26" s="20"/>
      <c r="C26" s="60"/>
      <c r="D26" s="60"/>
      <c r="E26" s="61"/>
      <c r="F26" s="60"/>
      <c r="G26" s="60"/>
      <c r="H26" s="67"/>
      <c r="I26" s="67"/>
      <c r="J26" s="67"/>
      <c r="K26" s="67"/>
      <c r="L26" s="20"/>
    </row>
    <row r="27" s="4" customFormat="1" ht="24.95" customHeight="1" spans="1:12">
      <c r="A27" s="20">
        <v>21</v>
      </c>
      <c r="B27" s="20"/>
      <c r="C27" s="60"/>
      <c r="D27" s="60"/>
      <c r="E27" s="61"/>
      <c r="F27" s="60"/>
      <c r="G27" s="60"/>
      <c r="H27" s="67"/>
      <c r="I27" s="67"/>
      <c r="J27" s="67"/>
      <c r="K27" s="67"/>
      <c r="L27" s="20"/>
    </row>
    <row r="28" s="4" customFormat="1" ht="24.95" customHeight="1" spans="1:12">
      <c r="A28" s="20">
        <v>22</v>
      </c>
      <c r="B28" s="20"/>
      <c r="C28" s="60"/>
      <c r="D28" s="60"/>
      <c r="E28" s="61"/>
      <c r="F28" s="60"/>
      <c r="G28" s="60"/>
      <c r="H28" s="67"/>
      <c r="I28" s="67"/>
      <c r="J28" s="67"/>
      <c r="K28" s="67"/>
      <c r="L28" s="20"/>
    </row>
    <row r="29" s="4" customFormat="1" ht="24.95" customHeight="1" spans="1:12">
      <c r="A29" s="20">
        <v>23</v>
      </c>
      <c r="B29" s="20"/>
      <c r="C29" s="60"/>
      <c r="D29" s="60"/>
      <c r="E29" s="61"/>
      <c r="F29" s="60"/>
      <c r="G29" s="60"/>
      <c r="H29" s="67"/>
      <c r="I29" s="67"/>
      <c r="J29" s="67"/>
      <c r="K29" s="67"/>
      <c r="L29" s="20"/>
    </row>
    <row r="30" s="4" customFormat="1" ht="24.95" customHeight="1" spans="1:12">
      <c r="A30" s="20">
        <v>24</v>
      </c>
      <c r="B30" s="20"/>
      <c r="C30" s="60"/>
      <c r="D30" s="60"/>
      <c r="E30" s="61"/>
      <c r="F30" s="60"/>
      <c r="G30" s="60"/>
      <c r="H30" s="67"/>
      <c r="I30" s="67"/>
      <c r="J30" s="67"/>
      <c r="K30" s="67"/>
      <c r="L30" s="20"/>
    </row>
    <row r="31" s="4" customFormat="1" ht="24.95" customHeight="1" spans="1:12">
      <c r="A31" s="20">
        <v>25</v>
      </c>
      <c r="B31" s="20"/>
      <c r="C31" s="60"/>
      <c r="D31" s="60"/>
      <c r="E31" s="61"/>
      <c r="F31" s="60"/>
      <c r="G31" s="60"/>
      <c r="H31" s="67"/>
      <c r="I31" s="67"/>
      <c r="J31" s="67"/>
      <c r="K31" s="67"/>
      <c r="L31" s="20"/>
    </row>
    <row r="32" s="4" customFormat="1" ht="24.95" customHeight="1" spans="1:12">
      <c r="A32" s="20">
        <v>26</v>
      </c>
      <c r="B32" s="20"/>
      <c r="C32" s="60"/>
      <c r="D32" s="60"/>
      <c r="E32" s="61"/>
      <c r="F32" s="60"/>
      <c r="G32" s="60"/>
      <c r="H32" s="67"/>
      <c r="I32" s="67"/>
      <c r="J32" s="67"/>
      <c r="K32" s="67"/>
      <c r="L32" s="20"/>
    </row>
    <row r="33" s="4" customFormat="1" ht="24.95" customHeight="1" spans="1:12">
      <c r="A33" s="20">
        <v>27</v>
      </c>
      <c r="B33" s="20"/>
      <c r="C33" s="60"/>
      <c r="D33" s="60"/>
      <c r="E33" s="61"/>
      <c r="F33" s="60"/>
      <c r="G33" s="60"/>
      <c r="H33" s="67"/>
      <c r="I33" s="67"/>
      <c r="J33" s="67"/>
      <c r="K33" s="67"/>
      <c r="L33" s="20"/>
    </row>
    <row r="34" s="4" customFormat="1" ht="24.95" customHeight="1" spans="1:12">
      <c r="A34" s="20">
        <v>28</v>
      </c>
      <c r="B34" s="20"/>
      <c r="C34" s="60"/>
      <c r="D34" s="60"/>
      <c r="E34" s="61"/>
      <c r="F34" s="60"/>
      <c r="G34" s="60"/>
      <c r="H34" s="67"/>
      <c r="I34" s="67"/>
      <c r="J34" s="67"/>
      <c r="K34" s="67"/>
      <c r="L34" s="20"/>
    </row>
    <row r="35" s="4" customFormat="1" ht="24.95" customHeight="1" spans="1:12">
      <c r="A35" s="20">
        <v>29</v>
      </c>
      <c r="B35" s="20"/>
      <c r="C35" s="60"/>
      <c r="D35" s="60"/>
      <c r="E35" s="61"/>
      <c r="F35" s="60"/>
      <c r="G35" s="60"/>
      <c r="H35" s="67"/>
      <c r="I35" s="67"/>
      <c r="J35" s="67"/>
      <c r="K35" s="67"/>
      <c r="L35" s="20"/>
    </row>
    <row r="36" s="4" customFormat="1" ht="24.95" customHeight="1" spans="1:12">
      <c r="A36" s="20">
        <v>30</v>
      </c>
      <c r="B36" s="20"/>
      <c r="C36" s="60"/>
      <c r="D36" s="60"/>
      <c r="E36" s="61"/>
      <c r="F36" s="60"/>
      <c r="G36" s="60"/>
      <c r="H36" s="67"/>
      <c r="I36" s="67"/>
      <c r="J36" s="67"/>
      <c r="K36" s="67"/>
      <c r="L36" s="20"/>
    </row>
    <row r="37" s="4" customFormat="1" ht="24.95" customHeight="1" spans="1:12">
      <c r="A37" s="20">
        <v>31</v>
      </c>
      <c r="B37" s="20"/>
      <c r="C37" s="60"/>
      <c r="D37" s="60"/>
      <c r="E37" s="61"/>
      <c r="F37" s="60"/>
      <c r="G37" s="60"/>
      <c r="H37" s="67"/>
      <c r="I37" s="67"/>
      <c r="J37" s="67"/>
      <c r="K37" s="67"/>
      <c r="L37" s="20"/>
    </row>
    <row r="38" s="4" customFormat="1" ht="24.95" customHeight="1" spans="1:12">
      <c r="A38" s="20">
        <v>32</v>
      </c>
      <c r="B38" s="20"/>
      <c r="C38" s="60"/>
      <c r="D38" s="60"/>
      <c r="E38" s="61"/>
      <c r="F38" s="60"/>
      <c r="G38" s="60"/>
      <c r="H38" s="67"/>
      <c r="I38" s="67"/>
      <c r="J38" s="67"/>
      <c r="K38" s="67"/>
      <c r="L38" s="20"/>
    </row>
    <row r="39" s="4" customFormat="1" ht="24.95" customHeight="1" spans="1:12">
      <c r="A39" s="20">
        <v>33</v>
      </c>
      <c r="B39" s="20"/>
      <c r="C39" s="60"/>
      <c r="D39" s="60"/>
      <c r="E39" s="61"/>
      <c r="F39" s="60"/>
      <c r="G39" s="60"/>
      <c r="H39" s="67"/>
      <c r="I39" s="67"/>
      <c r="J39" s="67"/>
      <c r="K39" s="67"/>
      <c r="L39" s="20"/>
    </row>
    <row r="40" s="4" customFormat="1" ht="24.95" customHeight="1" spans="1:12">
      <c r="A40" s="20">
        <v>34</v>
      </c>
      <c r="B40" s="20"/>
      <c r="C40" s="60"/>
      <c r="D40" s="60"/>
      <c r="E40" s="61"/>
      <c r="F40" s="60"/>
      <c r="G40" s="60"/>
      <c r="H40" s="67"/>
      <c r="I40" s="67"/>
      <c r="J40" s="67"/>
      <c r="K40" s="67"/>
      <c r="L40" s="20"/>
    </row>
    <row r="41" s="4" customFormat="1" ht="24.95" customHeight="1" spans="1:12">
      <c r="A41" s="20">
        <v>35</v>
      </c>
      <c r="B41" s="20"/>
      <c r="C41" s="60"/>
      <c r="D41" s="60"/>
      <c r="E41" s="61"/>
      <c r="F41" s="60"/>
      <c r="G41" s="60"/>
      <c r="H41" s="67"/>
      <c r="I41" s="67"/>
      <c r="J41" s="67"/>
      <c r="K41" s="67"/>
      <c r="L41" s="20"/>
    </row>
    <row r="42" s="31" customFormat="1" ht="24.95" customHeight="1" spans="1:13">
      <c r="A42" s="26"/>
      <c r="B42" s="42"/>
      <c r="C42" s="26"/>
      <c r="D42" s="26"/>
      <c r="E42" s="27"/>
      <c r="F42" s="26" t="s">
        <v>522</v>
      </c>
      <c r="G42" s="28">
        <f>SUM(G7:G41)</f>
        <v>0</v>
      </c>
      <c r="H42" s="29"/>
      <c r="I42" s="29">
        <f>SUM(I7:I41)</f>
        <v>0</v>
      </c>
      <c r="J42" s="29" t="s">
        <v>24</v>
      </c>
      <c r="K42" s="29">
        <f>SUM(K7:K41)</f>
        <v>0</v>
      </c>
      <c r="L42" s="26"/>
      <c r="M42" s="30" t="s">
        <v>523</v>
      </c>
    </row>
  </sheetData>
  <mergeCells count="9">
    <mergeCell ref="A1:L1"/>
    <mergeCell ref="A2:G2"/>
    <mergeCell ref="H2:L2"/>
    <mergeCell ref="A3:B3"/>
    <mergeCell ref="C3:L3"/>
    <mergeCell ref="A4:B4"/>
    <mergeCell ref="C4:L4"/>
    <mergeCell ref="A5:B5"/>
    <mergeCell ref="C5:L5"/>
  </mergeCells>
  <printOptions horizontalCentered="1"/>
  <pageMargins left="0.590551181102362" right="0.196850393700787" top="0.393700787401575" bottom="0.393700787401575" header="0.511811023622047" footer="0.15748031496063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FFC000"/>
  </sheetPr>
  <dimension ref="A1:M83"/>
  <sheetViews>
    <sheetView view="pageBreakPreview" zoomScale="55" zoomScaleNormal="100" workbookViewId="0">
      <pane ySplit="6" topLeftCell="A40" activePane="bottomLeft" state="frozen"/>
      <selection/>
      <selection pane="bottomLeft" activeCell="L59" sqref="L59"/>
    </sheetView>
  </sheetViews>
  <sheetFormatPr defaultColWidth="9" defaultRowHeight="14.25"/>
  <cols>
    <col min="1" max="1" width="5.625" style="5" customWidth="1"/>
    <col min="2" max="2" width="15.625" style="6" customWidth="1"/>
    <col min="3" max="3" width="15.625" style="5" customWidth="1"/>
    <col min="4" max="4" width="25.625" style="5" customWidth="1"/>
    <col min="5" max="5" width="12.625" style="32" customWidth="1"/>
    <col min="6" max="6" width="12.625" style="5" customWidth="1"/>
    <col min="7" max="7" width="12.625" style="33" customWidth="1"/>
    <col min="8" max="8" width="12.625" style="34" customWidth="1"/>
    <col min="9" max="9" width="17.625" style="11" customWidth="1"/>
    <col min="10" max="10" width="13.625" style="43" customWidth="1"/>
    <col min="11" max="11" width="15.625" style="43" customWidth="1"/>
    <col min="12" max="12" width="15.625" style="35" customWidth="1"/>
    <col min="13" max="16384" width="9" style="12"/>
  </cols>
  <sheetData>
    <row r="1" ht="30" customHeight="1" spans="1:12">
      <c r="A1" s="13" t="s">
        <v>0</v>
      </c>
      <c r="B1" s="13"/>
      <c r="C1" s="13"/>
      <c r="D1" s="13"/>
      <c r="E1" s="13"/>
      <c r="F1" s="13"/>
      <c r="G1" s="13"/>
      <c r="H1" s="14"/>
      <c r="I1" s="13"/>
      <c r="J1" s="13"/>
      <c r="K1" s="13"/>
      <c r="L1" s="13"/>
    </row>
    <row r="2" ht="50.1" customHeight="1" spans="1:12">
      <c r="A2" s="15" t="str">
        <f>清单封面!E15</f>
        <v>构件清单-4</v>
      </c>
      <c r="B2" s="15"/>
      <c r="C2" s="15"/>
      <c r="D2" s="15"/>
      <c r="E2" s="15"/>
      <c r="F2" s="15"/>
      <c r="G2" s="15"/>
      <c r="H2" s="16" t="str">
        <f>清单封面!F15</f>
        <v>(钢梯&amp;栏杆)</v>
      </c>
      <c r="I2" s="16"/>
      <c r="J2" s="16"/>
      <c r="K2" s="16"/>
      <c r="L2" s="16"/>
    </row>
    <row r="3" s="1" customFormat="1" ht="24.95" customHeight="1" spans="1:12">
      <c r="A3" s="3"/>
      <c r="B3" s="3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="2" customFormat="1" ht="24.95" customHeight="1" spans="1:12">
      <c r="A4" s="13" t="str">
        <f>清单封面!B7</f>
        <v>工 程 名 称：</v>
      </c>
      <c r="B4" s="13"/>
      <c r="C4" s="13" t="str">
        <f>清单封面!C7</f>
        <v>第三选矿区C栋宿舍</v>
      </c>
      <c r="D4" s="13"/>
      <c r="E4" s="13"/>
      <c r="F4" s="13"/>
      <c r="G4" s="13"/>
      <c r="H4" s="13"/>
      <c r="I4" s="13"/>
      <c r="J4" s="13"/>
      <c r="K4" s="13"/>
      <c r="L4" s="13"/>
    </row>
    <row r="5" s="2" customFormat="1" ht="24.95" customHeight="1" spans="1:12">
      <c r="A5" s="13" t="str">
        <f>清单封面!B8</f>
        <v>工 程 编 号：</v>
      </c>
      <c r="B5" s="13"/>
      <c r="C5" s="63" t="str">
        <f>清单封面!I15</f>
        <v>HA24575T</v>
      </c>
      <c r="D5" s="63"/>
      <c r="E5" s="63"/>
      <c r="F5" s="63"/>
      <c r="G5" s="63"/>
      <c r="H5" s="63"/>
      <c r="I5" s="63"/>
      <c r="J5" s="63"/>
      <c r="K5" s="63"/>
      <c r="L5" s="63"/>
    </row>
    <row r="6" s="3" customFormat="1" ht="24.95" customHeight="1" spans="1:12">
      <c r="A6" s="18" t="s">
        <v>13</v>
      </c>
      <c r="B6" s="59" t="s">
        <v>82</v>
      </c>
      <c r="C6" s="18" t="s">
        <v>83</v>
      </c>
      <c r="D6" s="18" t="s">
        <v>84</v>
      </c>
      <c r="E6" s="18" t="s">
        <v>85</v>
      </c>
      <c r="F6" s="18" t="s">
        <v>73</v>
      </c>
      <c r="G6" s="18" t="s">
        <v>72</v>
      </c>
      <c r="H6" s="19" t="s">
        <v>86</v>
      </c>
      <c r="I6" s="19" t="s">
        <v>87</v>
      </c>
      <c r="J6" s="19" t="s">
        <v>88</v>
      </c>
      <c r="K6" s="19" t="s">
        <v>89</v>
      </c>
      <c r="L6" s="19" t="s">
        <v>16</v>
      </c>
    </row>
    <row r="7" s="4" customFormat="1" ht="24.95" customHeight="1" spans="1:12">
      <c r="A7" s="20">
        <v>1</v>
      </c>
      <c r="B7" s="38" t="s">
        <v>316</v>
      </c>
      <c r="C7" s="39" t="s">
        <v>317</v>
      </c>
      <c r="D7" s="39" t="s">
        <v>318</v>
      </c>
      <c r="E7" s="40">
        <v>940</v>
      </c>
      <c r="F7" s="39" t="s">
        <v>319</v>
      </c>
      <c r="G7" s="46">
        <v>1</v>
      </c>
      <c r="H7" s="64">
        <v>17.2</v>
      </c>
      <c r="I7" s="64">
        <v>17.2</v>
      </c>
      <c r="J7" s="64">
        <v>0.87</v>
      </c>
      <c r="K7" s="64">
        <v>0.87</v>
      </c>
      <c r="L7" s="38"/>
    </row>
    <row r="8" s="4" customFormat="1" ht="24.95" customHeight="1" spans="1:12">
      <c r="A8" s="20">
        <v>2</v>
      </c>
      <c r="B8" s="38" t="s">
        <v>316</v>
      </c>
      <c r="C8" s="39" t="s">
        <v>320</v>
      </c>
      <c r="D8" s="39" t="s">
        <v>318</v>
      </c>
      <c r="E8" s="40">
        <v>4148.8</v>
      </c>
      <c r="F8" s="39" t="s">
        <v>319</v>
      </c>
      <c r="G8" s="46">
        <v>1</v>
      </c>
      <c r="H8" s="64">
        <v>47.3</v>
      </c>
      <c r="I8" s="64">
        <v>47.3</v>
      </c>
      <c r="J8" s="64">
        <v>2.49</v>
      </c>
      <c r="K8" s="64">
        <v>2.49</v>
      </c>
      <c r="L8" s="38"/>
    </row>
    <row r="9" s="4" customFormat="1" ht="24.95" customHeight="1" spans="1:12">
      <c r="A9" s="20">
        <v>3</v>
      </c>
      <c r="B9" s="38" t="s">
        <v>316</v>
      </c>
      <c r="C9" s="39" t="s">
        <v>321</v>
      </c>
      <c r="D9" s="39" t="s">
        <v>318</v>
      </c>
      <c r="E9" s="40">
        <v>4148.8</v>
      </c>
      <c r="F9" s="39" t="s">
        <v>319</v>
      </c>
      <c r="G9" s="46">
        <v>1</v>
      </c>
      <c r="H9" s="64">
        <v>47.3</v>
      </c>
      <c r="I9" s="64">
        <v>47.3</v>
      </c>
      <c r="J9" s="64">
        <v>2.49</v>
      </c>
      <c r="K9" s="64">
        <v>2.49</v>
      </c>
      <c r="L9" s="38"/>
    </row>
    <row r="10" s="4" customFormat="1" ht="24.95" customHeight="1" spans="1:12">
      <c r="A10" s="20">
        <v>4</v>
      </c>
      <c r="B10" s="38" t="s">
        <v>316</v>
      </c>
      <c r="C10" s="39" t="s">
        <v>322</v>
      </c>
      <c r="D10" s="39" t="s">
        <v>318</v>
      </c>
      <c r="E10" s="40">
        <v>3969.7</v>
      </c>
      <c r="F10" s="39" t="s">
        <v>319</v>
      </c>
      <c r="G10" s="46">
        <v>1</v>
      </c>
      <c r="H10" s="64">
        <v>45.7</v>
      </c>
      <c r="I10" s="64">
        <v>45.7</v>
      </c>
      <c r="J10" s="64">
        <v>2.4</v>
      </c>
      <c r="K10" s="64">
        <v>2.4</v>
      </c>
      <c r="L10" s="38"/>
    </row>
    <row r="11" s="4" customFormat="1" ht="24.95" customHeight="1" spans="1:12">
      <c r="A11" s="20">
        <v>5</v>
      </c>
      <c r="B11" s="38" t="s">
        <v>316</v>
      </c>
      <c r="C11" s="39" t="s">
        <v>323</v>
      </c>
      <c r="D11" s="39" t="s">
        <v>318</v>
      </c>
      <c r="E11" s="40">
        <v>3969.7</v>
      </c>
      <c r="F11" s="39" t="s">
        <v>319</v>
      </c>
      <c r="G11" s="46">
        <v>1</v>
      </c>
      <c r="H11" s="64">
        <v>45.7</v>
      </c>
      <c r="I11" s="64">
        <v>45.7</v>
      </c>
      <c r="J11" s="64">
        <v>2.4</v>
      </c>
      <c r="K11" s="64">
        <v>2.4</v>
      </c>
      <c r="L11" s="38"/>
    </row>
    <row r="12" s="4" customFormat="1" ht="24.95" customHeight="1" spans="1:12">
      <c r="A12" s="20">
        <v>6</v>
      </c>
      <c r="B12" s="38" t="s">
        <v>316</v>
      </c>
      <c r="C12" s="39" t="s">
        <v>324</v>
      </c>
      <c r="D12" s="39" t="s">
        <v>318</v>
      </c>
      <c r="E12" s="40">
        <v>3775.2</v>
      </c>
      <c r="F12" s="39" t="s">
        <v>319</v>
      </c>
      <c r="G12" s="46">
        <v>1</v>
      </c>
      <c r="H12" s="64">
        <v>43.7</v>
      </c>
      <c r="I12" s="64">
        <v>43.7</v>
      </c>
      <c r="J12" s="64">
        <v>2.29</v>
      </c>
      <c r="K12" s="64">
        <v>2.29</v>
      </c>
      <c r="L12" s="38"/>
    </row>
    <row r="13" s="4" customFormat="1" ht="24.95" customHeight="1" spans="1:12">
      <c r="A13" s="20">
        <v>7</v>
      </c>
      <c r="B13" s="38" t="s">
        <v>316</v>
      </c>
      <c r="C13" s="39" t="s">
        <v>325</v>
      </c>
      <c r="D13" s="39" t="s">
        <v>318</v>
      </c>
      <c r="E13" s="40">
        <v>3775.2</v>
      </c>
      <c r="F13" s="39" t="s">
        <v>319</v>
      </c>
      <c r="G13" s="46">
        <v>1</v>
      </c>
      <c r="H13" s="64">
        <v>43.7</v>
      </c>
      <c r="I13" s="64">
        <v>43.7</v>
      </c>
      <c r="J13" s="64">
        <v>2.29</v>
      </c>
      <c r="K13" s="64">
        <v>2.29</v>
      </c>
      <c r="L13" s="38"/>
    </row>
    <row r="14" s="4" customFormat="1" ht="24.95" customHeight="1" spans="1:12">
      <c r="A14" s="20">
        <v>8</v>
      </c>
      <c r="B14" s="38" t="s">
        <v>316</v>
      </c>
      <c r="C14" s="39" t="s">
        <v>326</v>
      </c>
      <c r="D14" s="39" t="s">
        <v>318</v>
      </c>
      <c r="E14" s="40">
        <v>3186</v>
      </c>
      <c r="F14" s="39" t="s">
        <v>319</v>
      </c>
      <c r="G14" s="46">
        <v>1</v>
      </c>
      <c r="H14" s="64">
        <v>35.4</v>
      </c>
      <c r="I14" s="64">
        <v>35.4</v>
      </c>
      <c r="J14" s="64">
        <v>1.85</v>
      </c>
      <c r="K14" s="64">
        <v>1.85</v>
      </c>
      <c r="L14" s="38"/>
    </row>
    <row r="15" s="4" customFormat="1" ht="24.95" customHeight="1" spans="1:12">
      <c r="A15" s="20">
        <v>9</v>
      </c>
      <c r="B15" s="38" t="s">
        <v>316</v>
      </c>
      <c r="C15" s="39" t="s">
        <v>327</v>
      </c>
      <c r="D15" s="39" t="s">
        <v>318</v>
      </c>
      <c r="E15" s="40">
        <v>3186</v>
      </c>
      <c r="F15" s="39" t="s">
        <v>319</v>
      </c>
      <c r="G15" s="46">
        <v>1</v>
      </c>
      <c r="H15" s="64">
        <v>35.4</v>
      </c>
      <c r="I15" s="64">
        <v>35.4</v>
      </c>
      <c r="J15" s="64">
        <v>1.85</v>
      </c>
      <c r="K15" s="64">
        <v>1.85</v>
      </c>
      <c r="L15" s="38"/>
    </row>
    <row r="16" s="4" customFormat="1" ht="24.95" customHeight="1" spans="1:12">
      <c r="A16" s="20">
        <v>10</v>
      </c>
      <c r="B16" s="38" t="s">
        <v>316</v>
      </c>
      <c r="C16" s="39" t="s">
        <v>328</v>
      </c>
      <c r="D16" s="39" t="s">
        <v>318</v>
      </c>
      <c r="E16" s="40">
        <v>3120.7</v>
      </c>
      <c r="F16" s="39" t="s">
        <v>319</v>
      </c>
      <c r="G16" s="46">
        <v>1</v>
      </c>
      <c r="H16" s="64">
        <v>35.1</v>
      </c>
      <c r="I16" s="64">
        <v>35.1</v>
      </c>
      <c r="J16" s="64">
        <v>1.83</v>
      </c>
      <c r="K16" s="64">
        <v>1.83</v>
      </c>
      <c r="L16" s="38"/>
    </row>
    <row r="17" s="4" customFormat="1" ht="24.95" customHeight="1" spans="1:12">
      <c r="A17" s="20">
        <v>11</v>
      </c>
      <c r="B17" s="38" t="s">
        <v>316</v>
      </c>
      <c r="C17" s="39" t="s">
        <v>329</v>
      </c>
      <c r="D17" s="39" t="s">
        <v>318</v>
      </c>
      <c r="E17" s="40">
        <v>3120.7</v>
      </c>
      <c r="F17" s="39" t="s">
        <v>319</v>
      </c>
      <c r="G17" s="46">
        <v>1</v>
      </c>
      <c r="H17" s="64">
        <v>35.1</v>
      </c>
      <c r="I17" s="64">
        <v>35.1</v>
      </c>
      <c r="J17" s="64">
        <v>1.83</v>
      </c>
      <c r="K17" s="64">
        <v>1.83</v>
      </c>
      <c r="L17" s="38"/>
    </row>
    <row r="18" s="4" customFormat="1" ht="24.95" customHeight="1" spans="1:12">
      <c r="A18" s="20">
        <v>12</v>
      </c>
      <c r="B18" s="38" t="s">
        <v>316</v>
      </c>
      <c r="C18" s="39" t="s">
        <v>330</v>
      </c>
      <c r="D18" s="39" t="s">
        <v>318</v>
      </c>
      <c r="E18" s="40">
        <v>3124.3</v>
      </c>
      <c r="F18" s="39" t="s">
        <v>319</v>
      </c>
      <c r="G18" s="46">
        <v>2</v>
      </c>
      <c r="H18" s="64">
        <v>35.1</v>
      </c>
      <c r="I18" s="64">
        <v>70.1</v>
      </c>
      <c r="J18" s="64">
        <v>1.84</v>
      </c>
      <c r="K18" s="64">
        <v>3.67</v>
      </c>
      <c r="L18" s="38"/>
    </row>
    <row r="19" s="4" customFormat="1" ht="24.95" customHeight="1" spans="1:12">
      <c r="A19" s="20">
        <v>13</v>
      </c>
      <c r="B19" s="38" t="s">
        <v>316</v>
      </c>
      <c r="C19" s="39" t="s">
        <v>331</v>
      </c>
      <c r="D19" s="39" t="s">
        <v>318</v>
      </c>
      <c r="E19" s="40">
        <v>3124.3</v>
      </c>
      <c r="F19" s="39" t="s">
        <v>319</v>
      </c>
      <c r="G19" s="46">
        <v>2</v>
      </c>
      <c r="H19" s="64">
        <v>35.1</v>
      </c>
      <c r="I19" s="64">
        <v>70.1</v>
      </c>
      <c r="J19" s="64">
        <v>1.84</v>
      </c>
      <c r="K19" s="64">
        <v>3.67</v>
      </c>
      <c r="L19" s="38"/>
    </row>
    <row r="20" s="4" customFormat="1" ht="24.95" customHeight="1" spans="1:12">
      <c r="A20" s="20">
        <v>14</v>
      </c>
      <c r="B20" s="38" t="s">
        <v>316</v>
      </c>
      <c r="C20" s="39" t="s">
        <v>332</v>
      </c>
      <c r="D20" s="39" t="s">
        <v>318</v>
      </c>
      <c r="E20" s="40">
        <v>4051</v>
      </c>
      <c r="F20" s="39" t="s">
        <v>319</v>
      </c>
      <c r="G20" s="46">
        <v>1</v>
      </c>
      <c r="H20" s="64">
        <v>46.2</v>
      </c>
      <c r="I20" s="64">
        <v>46.2</v>
      </c>
      <c r="J20" s="64">
        <v>2.42</v>
      </c>
      <c r="K20" s="64">
        <v>2.42</v>
      </c>
      <c r="L20" s="38"/>
    </row>
    <row r="21" s="4" customFormat="1" ht="24.95" customHeight="1" spans="1:12">
      <c r="A21" s="20">
        <v>15</v>
      </c>
      <c r="B21" s="38" t="s">
        <v>316</v>
      </c>
      <c r="C21" s="39" t="s">
        <v>333</v>
      </c>
      <c r="D21" s="39" t="s">
        <v>318</v>
      </c>
      <c r="E21" s="40">
        <v>4051</v>
      </c>
      <c r="F21" s="39" t="s">
        <v>319</v>
      </c>
      <c r="G21" s="46">
        <v>1</v>
      </c>
      <c r="H21" s="64">
        <v>46.2</v>
      </c>
      <c r="I21" s="64">
        <v>46.2</v>
      </c>
      <c r="J21" s="64">
        <v>2.42</v>
      </c>
      <c r="K21" s="64">
        <v>2.42</v>
      </c>
      <c r="L21" s="38"/>
    </row>
    <row r="22" s="4" customFormat="1" ht="24.95" customHeight="1" spans="1:12">
      <c r="A22" s="20">
        <v>16</v>
      </c>
      <c r="B22" s="38" t="s">
        <v>316</v>
      </c>
      <c r="C22" s="39" t="s">
        <v>334</v>
      </c>
      <c r="D22" s="39" t="s">
        <v>318</v>
      </c>
      <c r="E22" s="40">
        <v>3949.7</v>
      </c>
      <c r="F22" s="39" t="s">
        <v>319</v>
      </c>
      <c r="G22" s="46">
        <v>1</v>
      </c>
      <c r="H22" s="64">
        <v>44.7</v>
      </c>
      <c r="I22" s="64">
        <v>44.7</v>
      </c>
      <c r="J22" s="64">
        <v>2.34</v>
      </c>
      <c r="K22" s="64">
        <v>2.34</v>
      </c>
      <c r="L22" s="38"/>
    </row>
    <row r="23" s="4" customFormat="1" ht="24.95" customHeight="1" spans="1:12">
      <c r="A23" s="20">
        <v>17</v>
      </c>
      <c r="B23" s="38" t="s">
        <v>316</v>
      </c>
      <c r="C23" s="39" t="s">
        <v>335</v>
      </c>
      <c r="D23" s="39" t="s">
        <v>318</v>
      </c>
      <c r="E23" s="40">
        <v>3949.7</v>
      </c>
      <c r="F23" s="39" t="s">
        <v>319</v>
      </c>
      <c r="G23" s="46">
        <v>1</v>
      </c>
      <c r="H23" s="64">
        <v>44.7</v>
      </c>
      <c r="I23" s="64">
        <v>44.7</v>
      </c>
      <c r="J23" s="64">
        <v>2.34</v>
      </c>
      <c r="K23" s="64">
        <v>2.34</v>
      </c>
      <c r="L23" s="38"/>
    </row>
    <row r="24" s="4" customFormat="1" ht="24.95" customHeight="1" spans="1:12">
      <c r="A24" s="20">
        <v>18</v>
      </c>
      <c r="B24" s="38" t="s">
        <v>316</v>
      </c>
      <c r="C24" s="39" t="s">
        <v>336</v>
      </c>
      <c r="D24" s="39" t="s">
        <v>318</v>
      </c>
      <c r="E24" s="40">
        <v>3372.7</v>
      </c>
      <c r="F24" s="39" t="s">
        <v>319</v>
      </c>
      <c r="G24" s="46">
        <v>1</v>
      </c>
      <c r="H24" s="64">
        <v>36.4</v>
      </c>
      <c r="I24" s="64">
        <v>36.4</v>
      </c>
      <c r="J24" s="64">
        <v>1.91</v>
      </c>
      <c r="K24" s="64">
        <v>1.91</v>
      </c>
      <c r="L24" s="38"/>
    </row>
    <row r="25" s="4" customFormat="1" ht="24.95" customHeight="1" spans="1:12">
      <c r="A25" s="20">
        <v>19</v>
      </c>
      <c r="B25" s="38" t="s">
        <v>316</v>
      </c>
      <c r="C25" s="39" t="s">
        <v>337</v>
      </c>
      <c r="D25" s="39" t="s">
        <v>318</v>
      </c>
      <c r="E25" s="40">
        <v>3372.7</v>
      </c>
      <c r="F25" s="39" t="s">
        <v>319</v>
      </c>
      <c r="G25" s="46">
        <v>1</v>
      </c>
      <c r="H25" s="64">
        <v>36.4</v>
      </c>
      <c r="I25" s="64">
        <v>36.4</v>
      </c>
      <c r="J25" s="64">
        <v>1.91</v>
      </c>
      <c r="K25" s="64">
        <v>1.91</v>
      </c>
      <c r="L25" s="38"/>
    </row>
    <row r="26" s="4" customFormat="1" ht="24.95" customHeight="1" spans="1:12">
      <c r="A26" s="20">
        <v>20</v>
      </c>
      <c r="B26" s="38" t="s">
        <v>316</v>
      </c>
      <c r="C26" s="39" t="s">
        <v>338</v>
      </c>
      <c r="D26" s="39" t="s">
        <v>318</v>
      </c>
      <c r="E26" s="40">
        <v>3300.1</v>
      </c>
      <c r="F26" s="39" t="s">
        <v>319</v>
      </c>
      <c r="G26" s="46">
        <v>1</v>
      </c>
      <c r="H26" s="64">
        <v>36</v>
      </c>
      <c r="I26" s="64">
        <v>36</v>
      </c>
      <c r="J26" s="64">
        <v>1.89</v>
      </c>
      <c r="K26" s="64">
        <v>1.89</v>
      </c>
      <c r="L26" s="38"/>
    </row>
    <row r="27" s="4" customFormat="1" ht="24.95" customHeight="1" spans="1:12">
      <c r="A27" s="20">
        <v>21</v>
      </c>
      <c r="B27" s="38" t="s">
        <v>316</v>
      </c>
      <c r="C27" s="39" t="s">
        <v>339</v>
      </c>
      <c r="D27" s="39" t="s">
        <v>318</v>
      </c>
      <c r="E27" s="40">
        <v>3300.1</v>
      </c>
      <c r="F27" s="39" t="s">
        <v>319</v>
      </c>
      <c r="G27" s="46">
        <v>1</v>
      </c>
      <c r="H27" s="64">
        <v>36</v>
      </c>
      <c r="I27" s="64">
        <v>36</v>
      </c>
      <c r="J27" s="64">
        <v>1.89</v>
      </c>
      <c r="K27" s="64">
        <v>1.89</v>
      </c>
      <c r="L27" s="38"/>
    </row>
    <row r="28" s="4" customFormat="1" ht="24.95" customHeight="1" spans="1:12">
      <c r="A28" s="20">
        <v>22</v>
      </c>
      <c r="B28" s="38" t="s">
        <v>316</v>
      </c>
      <c r="C28" s="39" t="s">
        <v>340</v>
      </c>
      <c r="D28" s="39" t="s">
        <v>318</v>
      </c>
      <c r="E28" s="40">
        <v>3301.1</v>
      </c>
      <c r="F28" s="39" t="s">
        <v>319</v>
      </c>
      <c r="G28" s="46">
        <v>2</v>
      </c>
      <c r="H28" s="64">
        <v>36</v>
      </c>
      <c r="I28" s="64">
        <v>72</v>
      </c>
      <c r="J28" s="64">
        <v>1.89</v>
      </c>
      <c r="K28" s="64">
        <v>3.78</v>
      </c>
      <c r="L28" s="38"/>
    </row>
    <row r="29" s="4" customFormat="1" ht="24.95" customHeight="1" spans="1:12">
      <c r="A29" s="20">
        <v>23</v>
      </c>
      <c r="B29" s="38" t="s">
        <v>316</v>
      </c>
      <c r="C29" s="39" t="s">
        <v>341</v>
      </c>
      <c r="D29" s="39" t="s">
        <v>318</v>
      </c>
      <c r="E29" s="40">
        <v>3301.1</v>
      </c>
      <c r="F29" s="39" t="s">
        <v>319</v>
      </c>
      <c r="G29" s="46">
        <v>2</v>
      </c>
      <c r="H29" s="64">
        <v>36</v>
      </c>
      <c r="I29" s="64">
        <v>72</v>
      </c>
      <c r="J29" s="64">
        <v>1.89</v>
      </c>
      <c r="K29" s="64">
        <v>3.78</v>
      </c>
      <c r="L29" s="38"/>
    </row>
    <row r="30" s="4" customFormat="1" ht="24.95" customHeight="1" spans="1:12">
      <c r="A30" s="20">
        <v>24</v>
      </c>
      <c r="B30" s="38" t="s">
        <v>316</v>
      </c>
      <c r="C30" s="39" t="s">
        <v>342</v>
      </c>
      <c r="D30" s="39" t="s">
        <v>318</v>
      </c>
      <c r="E30" s="40">
        <v>940</v>
      </c>
      <c r="F30" s="39" t="s">
        <v>319</v>
      </c>
      <c r="G30" s="46">
        <v>13</v>
      </c>
      <c r="H30" s="64">
        <v>17.2</v>
      </c>
      <c r="I30" s="64">
        <v>223.3</v>
      </c>
      <c r="J30" s="64">
        <v>0.87</v>
      </c>
      <c r="K30" s="64">
        <v>11.33</v>
      </c>
      <c r="L30" s="38"/>
    </row>
    <row r="31" s="4" customFormat="1" ht="24.95" customHeight="1" spans="1:12">
      <c r="A31" s="20">
        <v>25</v>
      </c>
      <c r="B31" s="38" t="s">
        <v>316</v>
      </c>
      <c r="C31" s="39" t="s">
        <v>343</v>
      </c>
      <c r="D31" s="39" t="s">
        <v>318</v>
      </c>
      <c r="E31" s="40">
        <v>2465.5</v>
      </c>
      <c r="F31" s="39" t="s">
        <v>319</v>
      </c>
      <c r="G31" s="46">
        <v>1</v>
      </c>
      <c r="H31" s="64">
        <v>33.5</v>
      </c>
      <c r="I31" s="64">
        <v>33.5</v>
      </c>
      <c r="J31" s="64">
        <v>1.75</v>
      </c>
      <c r="K31" s="64">
        <v>1.75</v>
      </c>
      <c r="L31" s="38"/>
    </row>
    <row r="32" s="4" customFormat="1" ht="24.95" customHeight="1" spans="1:12">
      <c r="A32" s="20">
        <v>26</v>
      </c>
      <c r="B32" s="38" t="s">
        <v>316</v>
      </c>
      <c r="C32" s="39" t="s">
        <v>344</v>
      </c>
      <c r="D32" s="39" t="s">
        <v>318</v>
      </c>
      <c r="E32" s="40">
        <v>2465.5</v>
      </c>
      <c r="F32" s="39" t="s">
        <v>319</v>
      </c>
      <c r="G32" s="46">
        <v>6</v>
      </c>
      <c r="H32" s="64">
        <v>31.6</v>
      </c>
      <c r="I32" s="64">
        <v>189.7</v>
      </c>
      <c r="J32" s="64">
        <v>1.66</v>
      </c>
      <c r="K32" s="64">
        <v>9.96</v>
      </c>
      <c r="L32" s="38"/>
    </row>
    <row r="33" s="4" customFormat="1" ht="24.95" customHeight="1" spans="1:12">
      <c r="A33" s="20">
        <v>27</v>
      </c>
      <c r="B33" s="38" t="s">
        <v>316</v>
      </c>
      <c r="C33" s="39" t="s">
        <v>345</v>
      </c>
      <c r="D33" s="39" t="s">
        <v>318</v>
      </c>
      <c r="E33" s="40">
        <v>1915</v>
      </c>
      <c r="F33" s="39" t="s">
        <v>319</v>
      </c>
      <c r="G33" s="46">
        <v>2</v>
      </c>
      <c r="H33" s="64">
        <v>26.9</v>
      </c>
      <c r="I33" s="64">
        <v>53.7</v>
      </c>
      <c r="J33" s="64">
        <v>1.4</v>
      </c>
      <c r="K33" s="64">
        <v>2.79</v>
      </c>
      <c r="L33" s="38"/>
    </row>
    <row r="34" s="4" customFormat="1" ht="24.95" customHeight="1" spans="1:12">
      <c r="A34" s="20">
        <v>28</v>
      </c>
      <c r="B34" s="38" t="s">
        <v>316</v>
      </c>
      <c r="C34" s="39" t="s">
        <v>346</v>
      </c>
      <c r="D34" s="39" t="s">
        <v>318</v>
      </c>
      <c r="E34" s="40">
        <v>2175</v>
      </c>
      <c r="F34" s="39" t="s">
        <v>319</v>
      </c>
      <c r="G34" s="46">
        <v>2</v>
      </c>
      <c r="H34" s="64">
        <v>29.1</v>
      </c>
      <c r="I34" s="64">
        <v>58.2</v>
      </c>
      <c r="J34" s="64">
        <v>1.52</v>
      </c>
      <c r="K34" s="64">
        <v>3.04</v>
      </c>
      <c r="L34" s="38"/>
    </row>
    <row r="35" s="4" customFormat="1" ht="24.95" customHeight="1" spans="1:12">
      <c r="A35" s="20">
        <v>29</v>
      </c>
      <c r="B35" s="38" t="s">
        <v>316</v>
      </c>
      <c r="C35" s="39" t="s">
        <v>347</v>
      </c>
      <c r="D35" s="39" t="s">
        <v>318</v>
      </c>
      <c r="E35" s="40">
        <v>2715</v>
      </c>
      <c r="F35" s="39" t="s">
        <v>319</v>
      </c>
      <c r="G35" s="46">
        <v>8</v>
      </c>
      <c r="H35" s="64">
        <v>33.8</v>
      </c>
      <c r="I35" s="64">
        <v>270.2</v>
      </c>
      <c r="J35" s="64">
        <v>1.78</v>
      </c>
      <c r="K35" s="64">
        <v>14.24</v>
      </c>
      <c r="L35" s="38"/>
    </row>
    <row r="36" s="4" customFormat="1" ht="24.95" customHeight="1" spans="1:12">
      <c r="A36" s="20">
        <v>30</v>
      </c>
      <c r="B36" s="38" t="s">
        <v>316</v>
      </c>
      <c r="C36" s="39" t="s">
        <v>348</v>
      </c>
      <c r="D36" s="39" t="s">
        <v>318</v>
      </c>
      <c r="E36" s="40">
        <v>1388</v>
      </c>
      <c r="F36" s="39" t="s">
        <v>319</v>
      </c>
      <c r="G36" s="46">
        <v>1</v>
      </c>
      <c r="H36" s="64">
        <v>21</v>
      </c>
      <c r="I36" s="64">
        <v>21</v>
      </c>
      <c r="J36" s="64">
        <v>1.09</v>
      </c>
      <c r="K36" s="64">
        <v>1.09</v>
      </c>
      <c r="L36" s="38"/>
    </row>
    <row r="37" s="4" customFormat="1" ht="24.95" customHeight="1" spans="1:12">
      <c r="A37" s="20">
        <v>31</v>
      </c>
      <c r="B37" s="38" t="s">
        <v>316</v>
      </c>
      <c r="C37" s="39" t="s">
        <v>349</v>
      </c>
      <c r="D37" s="39" t="s">
        <v>318</v>
      </c>
      <c r="E37" s="40">
        <v>1653.6</v>
      </c>
      <c r="F37" s="39" t="s">
        <v>319</v>
      </c>
      <c r="G37" s="46">
        <v>4</v>
      </c>
      <c r="H37" s="64">
        <v>17.1</v>
      </c>
      <c r="I37" s="64">
        <v>68.5</v>
      </c>
      <c r="J37" s="64">
        <v>0.88</v>
      </c>
      <c r="K37" s="64">
        <v>3.52</v>
      </c>
      <c r="L37" s="38"/>
    </row>
    <row r="38" s="4" customFormat="1" ht="24.95" customHeight="1" spans="1:12">
      <c r="A38" s="20">
        <v>32</v>
      </c>
      <c r="B38" s="38" t="s">
        <v>316</v>
      </c>
      <c r="C38" s="39" t="s">
        <v>350</v>
      </c>
      <c r="D38" s="39" t="s">
        <v>318</v>
      </c>
      <c r="E38" s="40">
        <v>3262.2</v>
      </c>
      <c r="F38" s="39" t="s">
        <v>319</v>
      </c>
      <c r="G38" s="46">
        <v>4</v>
      </c>
      <c r="H38" s="64">
        <v>25.2</v>
      </c>
      <c r="I38" s="64">
        <v>100.8</v>
      </c>
      <c r="J38" s="64">
        <v>1.31</v>
      </c>
      <c r="K38" s="64">
        <v>5.23</v>
      </c>
      <c r="L38" s="38"/>
    </row>
    <row r="39" s="4" customFormat="1" ht="24.95" customHeight="1" spans="1:12">
      <c r="A39" s="20">
        <v>33</v>
      </c>
      <c r="B39" s="38" t="s">
        <v>316</v>
      </c>
      <c r="C39" s="39" t="s">
        <v>351</v>
      </c>
      <c r="D39" s="39" t="s">
        <v>318</v>
      </c>
      <c r="E39" s="40">
        <v>3251.4</v>
      </c>
      <c r="F39" s="39" t="s">
        <v>319</v>
      </c>
      <c r="G39" s="46">
        <v>4</v>
      </c>
      <c r="H39" s="64">
        <v>25.1</v>
      </c>
      <c r="I39" s="64">
        <v>100.6</v>
      </c>
      <c r="J39" s="64">
        <v>1.31</v>
      </c>
      <c r="K39" s="64">
        <v>5.22</v>
      </c>
      <c r="L39" s="38"/>
    </row>
    <row r="40" s="4" customFormat="1" ht="24.95" customHeight="1" spans="1:12">
      <c r="A40" s="20">
        <v>34</v>
      </c>
      <c r="B40" s="38" t="s">
        <v>316</v>
      </c>
      <c r="C40" s="39" t="s">
        <v>352</v>
      </c>
      <c r="D40" s="39" t="s">
        <v>318</v>
      </c>
      <c r="E40" s="40">
        <v>3181.9</v>
      </c>
      <c r="F40" s="39" t="s">
        <v>319</v>
      </c>
      <c r="G40" s="46">
        <v>4</v>
      </c>
      <c r="H40" s="64">
        <v>24.9</v>
      </c>
      <c r="I40" s="64">
        <v>99.8</v>
      </c>
      <c r="J40" s="64">
        <v>1.29</v>
      </c>
      <c r="K40" s="64">
        <v>5.18</v>
      </c>
      <c r="L40" s="38"/>
    </row>
    <row r="41" s="4" customFormat="1" ht="24.95" customHeight="1" spans="1:12">
      <c r="A41" s="20">
        <v>35</v>
      </c>
      <c r="B41" s="38" t="s">
        <v>316</v>
      </c>
      <c r="C41" s="39" t="s">
        <v>353</v>
      </c>
      <c r="D41" s="39" t="s">
        <v>318</v>
      </c>
      <c r="E41" s="40">
        <v>3189.2</v>
      </c>
      <c r="F41" s="39" t="s">
        <v>319</v>
      </c>
      <c r="G41" s="46">
        <v>4</v>
      </c>
      <c r="H41" s="64">
        <v>25</v>
      </c>
      <c r="I41" s="64">
        <v>99.9</v>
      </c>
      <c r="J41" s="64">
        <v>1.3</v>
      </c>
      <c r="K41" s="64">
        <v>5.18</v>
      </c>
      <c r="L41" s="38"/>
    </row>
    <row r="42" s="4" customFormat="1" ht="24.95" customHeight="1" spans="1:12">
      <c r="A42" s="20">
        <v>36</v>
      </c>
      <c r="B42" s="38" t="s">
        <v>316</v>
      </c>
      <c r="C42" s="39" t="s">
        <v>354</v>
      </c>
      <c r="D42" s="39" t="s">
        <v>318</v>
      </c>
      <c r="E42" s="40">
        <v>2318.5</v>
      </c>
      <c r="F42" s="39" t="s">
        <v>319</v>
      </c>
      <c r="G42" s="46">
        <v>12</v>
      </c>
      <c r="H42" s="64">
        <v>20.3</v>
      </c>
      <c r="I42" s="64">
        <v>243.1</v>
      </c>
      <c r="J42" s="64">
        <v>1.06</v>
      </c>
      <c r="K42" s="64">
        <v>12.69</v>
      </c>
      <c r="L42" s="38"/>
    </row>
    <row r="43" s="4" customFormat="1" ht="24.95" customHeight="1" spans="1:12">
      <c r="A43" s="20">
        <v>37</v>
      </c>
      <c r="B43" s="38" t="s">
        <v>316</v>
      </c>
      <c r="C43" s="39" t="s">
        <v>355</v>
      </c>
      <c r="D43" s="39" t="s">
        <v>318</v>
      </c>
      <c r="E43" s="40">
        <v>5977.5</v>
      </c>
      <c r="F43" s="39" t="s">
        <v>319</v>
      </c>
      <c r="G43" s="46">
        <v>3</v>
      </c>
      <c r="H43" s="64">
        <v>46.7</v>
      </c>
      <c r="I43" s="64">
        <v>140.1</v>
      </c>
      <c r="J43" s="64">
        <v>2.46</v>
      </c>
      <c r="K43" s="64">
        <v>7.38</v>
      </c>
      <c r="L43" s="38"/>
    </row>
    <row r="44" s="4" customFormat="1" ht="24.95" customHeight="1" spans="1:12">
      <c r="A44" s="20">
        <v>38</v>
      </c>
      <c r="B44" s="38" t="s">
        <v>316</v>
      </c>
      <c r="C44" s="39" t="s">
        <v>356</v>
      </c>
      <c r="D44" s="39" t="s">
        <v>318</v>
      </c>
      <c r="E44" s="40">
        <v>6118.5</v>
      </c>
      <c r="F44" s="39" t="s">
        <v>319</v>
      </c>
      <c r="G44" s="46">
        <v>1</v>
      </c>
      <c r="H44" s="64">
        <v>47.3</v>
      </c>
      <c r="I44" s="64">
        <v>47.3</v>
      </c>
      <c r="J44" s="64">
        <v>2.5</v>
      </c>
      <c r="K44" s="64">
        <v>2.5</v>
      </c>
      <c r="L44" s="38"/>
    </row>
    <row r="45" s="4" customFormat="1" ht="24.95" customHeight="1" spans="1:12">
      <c r="A45" s="20">
        <v>39</v>
      </c>
      <c r="B45" s="38" t="s">
        <v>316</v>
      </c>
      <c r="C45" s="39" t="s">
        <v>357</v>
      </c>
      <c r="D45" s="39" t="s">
        <v>318</v>
      </c>
      <c r="E45" s="40">
        <v>6348.4</v>
      </c>
      <c r="F45" s="39" t="s">
        <v>319</v>
      </c>
      <c r="G45" s="46">
        <v>1</v>
      </c>
      <c r="H45" s="64">
        <v>44.6</v>
      </c>
      <c r="I45" s="64">
        <v>44.6</v>
      </c>
      <c r="J45" s="64">
        <v>2.39</v>
      </c>
      <c r="K45" s="64">
        <v>2.39</v>
      </c>
      <c r="L45" s="38"/>
    </row>
    <row r="46" s="4" customFormat="1" ht="24.95" customHeight="1" spans="1:12">
      <c r="A46" s="20">
        <v>40</v>
      </c>
      <c r="B46" s="38" t="s">
        <v>316</v>
      </c>
      <c r="C46" s="39" t="s">
        <v>358</v>
      </c>
      <c r="D46" s="39" t="s">
        <v>318</v>
      </c>
      <c r="E46" s="40">
        <v>3214.7</v>
      </c>
      <c r="F46" s="39" t="s">
        <v>319</v>
      </c>
      <c r="G46" s="46">
        <v>32</v>
      </c>
      <c r="H46" s="64">
        <v>25</v>
      </c>
      <c r="I46" s="64">
        <v>801.4</v>
      </c>
      <c r="J46" s="64">
        <v>1.3</v>
      </c>
      <c r="K46" s="64">
        <v>41.59</v>
      </c>
      <c r="L46" s="38"/>
    </row>
    <row r="47" s="4" customFormat="1" ht="24.95" customHeight="1" spans="1:12">
      <c r="A47" s="20">
        <v>41</v>
      </c>
      <c r="B47" s="38" t="s">
        <v>316</v>
      </c>
      <c r="C47" s="39" t="s">
        <v>359</v>
      </c>
      <c r="D47" s="39" t="s">
        <v>318</v>
      </c>
      <c r="E47" s="40">
        <v>3927.8</v>
      </c>
      <c r="F47" s="39" t="s">
        <v>319</v>
      </c>
      <c r="G47" s="46">
        <v>8</v>
      </c>
      <c r="H47" s="64">
        <v>28.3</v>
      </c>
      <c r="I47" s="64">
        <v>226.1</v>
      </c>
      <c r="J47" s="64">
        <v>1.48</v>
      </c>
      <c r="K47" s="64">
        <v>11.86</v>
      </c>
      <c r="L47" s="38"/>
    </row>
    <row r="48" s="4" customFormat="1" ht="24.95" customHeight="1" spans="1:12">
      <c r="A48" s="20">
        <v>42</v>
      </c>
      <c r="B48" s="38" t="s">
        <v>316</v>
      </c>
      <c r="C48" s="39" t="s">
        <v>360</v>
      </c>
      <c r="D48" s="39" t="s">
        <v>318</v>
      </c>
      <c r="E48" s="40">
        <v>1653.6</v>
      </c>
      <c r="F48" s="39" t="s">
        <v>319</v>
      </c>
      <c r="G48" s="46">
        <v>20</v>
      </c>
      <c r="H48" s="64">
        <v>16.7</v>
      </c>
      <c r="I48" s="64">
        <v>333.3</v>
      </c>
      <c r="J48" s="64">
        <v>0.86</v>
      </c>
      <c r="K48" s="64">
        <v>17.14</v>
      </c>
      <c r="L48" s="38"/>
    </row>
    <row r="49" s="4" customFormat="1" ht="24.95" customHeight="1" spans="1:12">
      <c r="A49" s="20">
        <v>43</v>
      </c>
      <c r="B49" s="38" t="s">
        <v>316</v>
      </c>
      <c r="C49" s="39" t="s">
        <v>361</v>
      </c>
      <c r="D49" s="39" t="s">
        <v>318</v>
      </c>
      <c r="E49" s="40">
        <v>1113.5</v>
      </c>
      <c r="F49" s="39" t="s">
        <v>319</v>
      </c>
      <c r="G49" s="46">
        <v>4</v>
      </c>
      <c r="H49" s="64">
        <v>14.6</v>
      </c>
      <c r="I49" s="64">
        <v>58.4</v>
      </c>
      <c r="J49" s="64">
        <v>0.73</v>
      </c>
      <c r="K49" s="64">
        <v>2.94</v>
      </c>
      <c r="L49" s="38"/>
    </row>
    <row r="50" s="4" customFormat="1" ht="24.95" customHeight="1" spans="1:12">
      <c r="A50" s="20">
        <v>44</v>
      </c>
      <c r="B50" s="38" t="s">
        <v>316</v>
      </c>
      <c r="C50" s="39" t="s">
        <v>362</v>
      </c>
      <c r="D50" s="39" t="s">
        <v>318</v>
      </c>
      <c r="E50" s="40">
        <v>2802</v>
      </c>
      <c r="F50" s="39" t="s">
        <v>319</v>
      </c>
      <c r="G50" s="46">
        <v>2</v>
      </c>
      <c r="H50" s="64">
        <v>23.8</v>
      </c>
      <c r="I50" s="64">
        <v>47.7</v>
      </c>
      <c r="J50" s="64">
        <v>1.25</v>
      </c>
      <c r="K50" s="64">
        <v>2.5</v>
      </c>
      <c r="L50" s="38"/>
    </row>
    <row r="51" s="4" customFormat="1" ht="24.95" customHeight="1" spans="1:12">
      <c r="A51" s="20">
        <v>45</v>
      </c>
      <c r="B51" s="38" t="s">
        <v>316</v>
      </c>
      <c r="C51" s="39" t="s">
        <v>363</v>
      </c>
      <c r="D51" s="39" t="s">
        <v>318</v>
      </c>
      <c r="E51" s="40">
        <v>1389.5</v>
      </c>
      <c r="F51" s="39" t="s">
        <v>319</v>
      </c>
      <c r="G51" s="46">
        <v>2</v>
      </c>
      <c r="H51" s="64">
        <v>17.2</v>
      </c>
      <c r="I51" s="64">
        <v>34.4</v>
      </c>
      <c r="J51" s="64">
        <v>0.87</v>
      </c>
      <c r="K51" s="64">
        <v>1.74</v>
      </c>
      <c r="L51" s="38"/>
    </row>
    <row r="52" s="4" customFormat="1" ht="24.95" customHeight="1" spans="1:12">
      <c r="A52" s="20">
        <v>46</v>
      </c>
      <c r="B52" s="38" t="s">
        <v>316</v>
      </c>
      <c r="C52" s="39" t="s">
        <v>364</v>
      </c>
      <c r="D52" s="39" t="s">
        <v>318</v>
      </c>
      <c r="E52" s="40">
        <v>2437.5</v>
      </c>
      <c r="F52" s="39" t="s">
        <v>319</v>
      </c>
      <c r="G52" s="46">
        <v>2</v>
      </c>
      <c r="H52" s="64">
        <v>22.1</v>
      </c>
      <c r="I52" s="64">
        <v>44.2</v>
      </c>
      <c r="J52" s="64">
        <v>1.15</v>
      </c>
      <c r="K52" s="64">
        <v>2.3</v>
      </c>
      <c r="L52" s="38"/>
    </row>
    <row r="53" s="4" customFormat="1" ht="24.95" customHeight="1" spans="1:12">
      <c r="A53" s="20">
        <v>47</v>
      </c>
      <c r="B53" s="38" t="s">
        <v>316</v>
      </c>
      <c r="C53" s="39" t="s">
        <v>365</v>
      </c>
      <c r="D53" s="39" t="s">
        <v>318</v>
      </c>
      <c r="E53" s="40">
        <v>6179.2</v>
      </c>
      <c r="F53" s="39" t="s">
        <v>319</v>
      </c>
      <c r="G53" s="46">
        <v>28</v>
      </c>
      <c r="H53" s="64">
        <v>44</v>
      </c>
      <c r="I53" s="64">
        <v>1230.8</v>
      </c>
      <c r="J53" s="64">
        <v>2.34</v>
      </c>
      <c r="K53" s="64">
        <v>65.6</v>
      </c>
      <c r="L53" s="38"/>
    </row>
    <row r="54" s="4" customFormat="1" ht="24.95" customHeight="1" spans="1:12">
      <c r="A54" s="20">
        <v>48</v>
      </c>
      <c r="B54" s="38" t="s">
        <v>316</v>
      </c>
      <c r="C54" s="39" t="s">
        <v>366</v>
      </c>
      <c r="D54" s="39" t="s">
        <v>318</v>
      </c>
      <c r="E54" s="40">
        <v>6053.7</v>
      </c>
      <c r="F54" s="39" t="s">
        <v>319</v>
      </c>
      <c r="G54" s="46">
        <v>1</v>
      </c>
      <c r="H54" s="64">
        <v>43.4</v>
      </c>
      <c r="I54" s="64">
        <v>43.4</v>
      </c>
      <c r="J54" s="64">
        <v>2.31</v>
      </c>
      <c r="K54" s="64">
        <v>2.31</v>
      </c>
      <c r="L54" s="38"/>
    </row>
    <row r="55" s="4" customFormat="1" ht="24.95" customHeight="1" spans="1:12">
      <c r="A55" s="20">
        <v>49</v>
      </c>
      <c r="B55" s="38" t="s">
        <v>316</v>
      </c>
      <c r="C55" s="39" t="s">
        <v>367</v>
      </c>
      <c r="D55" s="39" t="s">
        <v>318</v>
      </c>
      <c r="E55" s="40">
        <v>6053.7</v>
      </c>
      <c r="F55" s="39" t="s">
        <v>319</v>
      </c>
      <c r="G55" s="46">
        <v>1</v>
      </c>
      <c r="H55" s="64">
        <v>43.4</v>
      </c>
      <c r="I55" s="64">
        <v>43.4</v>
      </c>
      <c r="J55" s="64">
        <v>2.31</v>
      </c>
      <c r="K55" s="64">
        <v>2.31</v>
      </c>
      <c r="L55" s="38"/>
    </row>
    <row r="56" s="4" customFormat="1" ht="24.95" customHeight="1" spans="1:12">
      <c r="A56" s="20">
        <v>50</v>
      </c>
      <c r="B56" s="38" t="s">
        <v>316</v>
      </c>
      <c r="C56" s="39" t="s">
        <v>368</v>
      </c>
      <c r="D56" s="39" t="s">
        <v>318</v>
      </c>
      <c r="E56" s="40">
        <v>723.5</v>
      </c>
      <c r="F56" s="39" t="s">
        <v>319</v>
      </c>
      <c r="G56" s="46">
        <v>4</v>
      </c>
      <c r="H56" s="64">
        <v>6.4</v>
      </c>
      <c r="I56" s="64">
        <v>25.7</v>
      </c>
      <c r="J56" s="64">
        <v>0.33</v>
      </c>
      <c r="K56" s="64">
        <v>1.34</v>
      </c>
      <c r="L56" s="38"/>
    </row>
    <row r="57" s="4" customFormat="1" ht="24.95" customHeight="1" spans="1:12">
      <c r="A57" s="20">
        <v>51</v>
      </c>
      <c r="B57" s="38" t="s">
        <v>316</v>
      </c>
      <c r="C57" s="39" t="s">
        <v>369</v>
      </c>
      <c r="D57" s="39" t="s">
        <v>318</v>
      </c>
      <c r="E57" s="40">
        <v>6348.4</v>
      </c>
      <c r="F57" s="39" t="s">
        <v>319</v>
      </c>
      <c r="G57" s="46">
        <v>1</v>
      </c>
      <c r="H57" s="64">
        <v>44.6</v>
      </c>
      <c r="I57" s="64">
        <v>44.6</v>
      </c>
      <c r="J57" s="64">
        <v>2.39</v>
      </c>
      <c r="K57" s="64">
        <v>2.39</v>
      </c>
      <c r="L57" s="38"/>
    </row>
    <row r="58" s="4" customFormat="1" ht="24.95" customHeight="1" spans="1:12">
      <c r="A58" s="20">
        <v>52</v>
      </c>
      <c r="B58" s="38" t="s">
        <v>316</v>
      </c>
      <c r="C58" s="39" t="s">
        <v>370</v>
      </c>
      <c r="D58" s="39" t="s">
        <v>318</v>
      </c>
      <c r="E58" s="40">
        <v>2447</v>
      </c>
      <c r="F58" s="39" t="s">
        <v>319</v>
      </c>
      <c r="G58" s="46">
        <v>26</v>
      </c>
      <c r="H58" s="64">
        <v>20.8</v>
      </c>
      <c r="I58" s="64">
        <v>539.7</v>
      </c>
      <c r="J58" s="64">
        <v>1.09</v>
      </c>
      <c r="K58" s="64">
        <v>28.28</v>
      </c>
      <c r="L58" s="38"/>
    </row>
    <row r="59" s="4" customFormat="1" ht="24.95" customHeight="1" spans="1:12">
      <c r="A59" s="20">
        <v>53</v>
      </c>
      <c r="B59" s="38" t="s">
        <v>457</v>
      </c>
      <c r="C59" s="39" t="s">
        <v>458</v>
      </c>
      <c r="D59" s="39" t="s">
        <v>396</v>
      </c>
      <c r="E59" s="40">
        <v>2835.9</v>
      </c>
      <c r="F59" s="39" t="s">
        <v>93</v>
      </c>
      <c r="G59" s="46">
        <v>1</v>
      </c>
      <c r="H59" s="64">
        <v>206.6</v>
      </c>
      <c r="I59" s="64">
        <v>206.6</v>
      </c>
      <c r="J59" s="64">
        <v>9.75</v>
      </c>
      <c r="K59" s="64">
        <v>9.75</v>
      </c>
      <c r="L59" s="65">
        <v>77.52</v>
      </c>
    </row>
    <row r="60" s="4" customFormat="1" ht="24.95" customHeight="1" spans="1:12">
      <c r="A60" s="20">
        <v>54</v>
      </c>
      <c r="B60" s="38" t="s">
        <v>457</v>
      </c>
      <c r="C60" s="39" t="s">
        <v>459</v>
      </c>
      <c r="D60" s="39" t="s">
        <v>396</v>
      </c>
      <c r="E60" s="40">
        <v>2835.9</v>
      </c>
      <c r="F60" s="39" t="s">
        <v>93</v>
      </c>
      <c r="G60" s="46">
        <v>1</v>
      </c>
      <c r="H60" s="64">
        <v>206.6</v>
      </c>
      <c r="I60" s="64">
        <v>206.6</v>
      </c>
      <c r="J60" s="64">
        <v>9.75</v>
      </c>
      <c r="K60" s="64">
        <v>9.75</v>
      </c>
      <c r="L60" s="65">
        <v>77.52</v>
      </c>
    </row>
    <row r="61" s="4" customFormat="1" ht="24.95" customHeight="1" spans="1:12">
      <c r="A61" s="20">
        <v>55</v>
      </c>
      <c r="B61" s="38" t="s">
        <v>457</v>
      </c>
      <c r="C61" s="39" t="s">
        <v>460</v>
      </c>
      <c r="D61" s="39" t="s">
        <v>396</v>
      </c>
      <c r="E61" s="40">
        <v>2895.9</v>
      </c>
      <c r="F61" s="39" t="s">
        <v>93</v>
      </c>
      <c r="G61" s="46">
        <v>2</v>
      </c>
      <c r="H61" s="64">
        <v>223.1</v>
      </c>
      <c r="I61" s="64">
        <v>446.3</v>
      </c>
      <c r="J61" s="64">
        <v>10.61</v>
      </c>
      <c r="K61" s="64">
        <v>21.22</v>
      </c>
      <c r="L61" s="65">
        <v>164.4</v>
      </c>
    </row>
    <row r="62" s="4" customFormat="1" ht="24.95" customHeight="1" spans="1:12">
      <c r="A62" s="20">
        <v>56</v>
      </c>
      <c r="B62" s="38" t="s">
        <v>457</v>
      </c>
      <c r="C62" s="39" t="s">
        <v>461</v>
      </c>
      <c r="D62" s="39" t="s">
        <v>396</v>
      </c>
      <c r="E62" s="40">
        <v>2845.7</v>
      </c>
      <c r="F62" s="39" t="s">
        <v>93</v>
      </c>
      <c r="G62" s="46">
        <v>2</v>
      </c>
      <c r="H62" s="64">
        <v>220.5</v>
      </c>
      <c r="I62" s="64">
        <v>441.1</v>
      </c>
      <c r="J62" s="64">
        <v>10.49</v>
      </c>
      <c r="K62" s="64">
        <v>20.98</v>
      </c>
      <c r="L62" s="65">
        <v>160.88</v>
      </c>
    </row>
    <row r="63" s="4" customFormat="1" ht="24.95" customHeight="1" spans="1:12">
      <c r="A63" s="20">
        <v>57</v>
      </c>
      <c r="B63" s="38" t="s">
        <v>457</v>
      </c>
      <c r="C63" s="39" t="s">
        <v>462</v>
      </c>
      <c r="D63" s="39" t="s">
        <v>396</v>
      </c>
      <c r="E63" s="40">
        <v>2848.5</v>
      </c>
      <c r="F63" s="39" t="s">
        <v>93</v>
      </c>
      <c r="G63" s="46">
        <v>2</v>
      </c>
      <c r="H63" s="64">
        <v>221.9</v>
      </c>
      <c r="I63" s="64">
        <v>443.8</v>
      </c>
      <c r="J63" s="64">
        <v>10.56</v>
      </c>
      <c r="K63" s="64">
        <v>21.12</v>
      </c>
      <c r="L63" s="65">
        <v>161.92</v>
      </c>
    </row>
    <row r="64" s="4" customFormat="1" ht="24.95" customHeight="1" spans="1:12">
      <c r="A64" s="20">
        <v>58</v>
      </c>
      <c r="B64" s="38" t="s">
        <v>457</v>
      </c>
      <c r="C64" s="39" t="s">
        <v>463</v>
      </c>
      <c r="D64" s="39" t="s">
        <v>396</v>
      </c>
      <c r="E64" s="40">
        <v>3563.2</v>
      </c>
      <c r="F64" s="39" t="s">
        <v>93</v>
      </c>
      <c r="G64" s="46">
        <v>2</v>
      </c>
      <c r="H64" s="64">
        <v>273.9</v>
      </c>
      <c r="I64" s="64">
        <v>547.8</v>
      </c>
      <c r="J64" s="64">
        <v>13.01</v>
      </c>
      <c r="K64" s="64">
        <v>26.02</v>
      </c>
      <c r="L64" s="65">
        <v>203.28</v>
      </c>
    </row>
    <row r="65" s="4" customFormat="1" ht="24.95" customHeight="1" spans="1:12">
      <c r="A65" s="20">
        <v>59</v>
      </c>
      <c r="B65" s="38" t="s">
        <v>457</v>
      </c>
      <c r="C65" s="39" t="s">
        <v>464</v>
      </c>
      <c r="D65" s="39" t="s">
        <v>396</v>
      </c>
      <c r="E65" s="40">
        <v>3563.2</v>
      </c>
      <c r="F65" s="39" t="s">
        <v>93</v>
      </c>
      <c r="G65" s="46">
        <v>2</v>
      </c>
      <c r="H65" s="64">
        <v>273.3</v>
      </c>
      <c r="I65" s="64">
        <v>546.7</v>
      </c>
      <c r="J65" s="64">
        <v>12.98</v>
      </c>
      <c r="K65" s="64">
        <v>25.97</v>
      </c>
      <c r="L65" s="65">
        <v>203.28</v>
      </c>
    </row>
    <row r="66" s="4" customFormat="1" ht="24.95" customHeight="1" spans="1:12">
      <c r="A66" s="20">
        <v>60</v>
      </c>
      <c r="B66" s="38" t="s">
        <v>457</v>
      </c>
      <c r="C66" s="39" t="s">
        <v>465</v>
      </c>
      <c r="D66" s="39" t="s">
        <v>396</v>
      </c>
      <c r="E66" s="40">
        <v>2867.8</v>
      </c>
      <c r="F66" s="39" t="s">
        <v>93</v>
      </c>
      <c r="G66" s="46">
        <v>8</v>
      </c>
      <c r="H66" s="64">
        <v>220.7</v>
      </c>
      <c r="I66" s="64">
        <v>1765.8</v>
      </c>
      <c r="J66" s="64">
        <v>10.49</v>
      </c>
      <c r="K66" s="64">
        <v>83.95</v>
      </c>
      <c r="L66" s="65">
        <v>651.68</v>
      </c>
    </row>
    <row r="67" s="4" customFormat="1" ht="24.95" customHeight="1" spans="1:12">
      <c r="A67" s="20">
        <v>61</v>
      </c>
      <c r="B67" s="38" t="s">
        <v>457</v>
      </c>
      <c r="C67" s="39" t="s">
        <v>466</v>
      </c>
      <c r="D67" s="39" t="s">
        <v>396</v>
      </c>
      <c r="E67" s="40">
        <v>2867.8</v>
      </c>
      <c r="F67" s="39" t="s">
        <v>93</v>
      </c>
      <c r="G67" s="46">
        <v>8</v>
      </c>
      <c r="H67" s="64">
        <v>220.4</v>
      </c>
      <c r="I67" s="64">
        <v>1762.9</v>
      </c>
      <c r="J67" s="64">
        <v>10.47</v>
      </c>
      <c r="K67" s="64">
        <v>83.79</v>
      </c>
      <c r="L67" s="65">
        <v>651.68</v>
      </c>
    </row>
    <row r="68" s="4" customFormat="1" ht="24.95" customHeight="1" spans="1:12">
      <c r="A68" s="20">
        <v>62</v>
      </c>
      <c r="B68" s="38" t="s">
        <v>457</v>
      </c>
      <c r="C68" s="39" t="s">
        <v>467</v>
      </c>
      <c r="D68" s="39" t="s">
        <v>396</v>
      </c>
      <c r="E68" s="40">
        <v>3911</v>
      </c>
      <c r="F68" s="39" t="s">
        <v>93</v>
      </c>
      <c r="G68" s="46">
        <v>1</v>
      </c>
      <c r="H68" s="64">
        <v>308.2</v>
      </c>
      <c r="I68" s="64">
        <v>308.2</v>
      </c>
      <c r="J68" s="64">
        <v>14.57</v>
      </c>
      <c r="K68" s="64">
        <v>14.57</v>
      </c>
      <c r="L68" s="65">
        <v>108.16</v>
      </c>
    </row>
    <row r="69" s="4" customFormat="1" ht="24.95" customHeight="1" spans="1:12">
      <c r="A69" s="20">
        <v>63</v>
      </c>
      <c r="B69" s="38" t="s">
        <v>457</v>
      </c>
      <c r="C69" s="39" t="s">
        <v>468</v>
      </c>
      <c r="D69" s="39" t="s">
        <v>396</v>
      </c>
      <c r="E69" s="40">
        <v>3824.8</v>
      </c>
      <c r="F69" s="39" t="s">
        <v>93</v>
      </c>
      <c r="G69" s="46">
        <v>1</v>
      </c>
      <c r="H69" s="64">
        <v>287.3</v>
      </c>
      <c r="I69" s="64">
        <v>287.3</v>
      </c>
      <c r="J69" s="64">
        <v>13.48</v>
      </c>
      <c r="K69" s="64">
        <v>13.48</v>
      </c>
      <c r="L69" s="65">
        <v>106.98</v>
      </c>
    </row>
    <row r="70" s="4" customFormat="1" ht="24.95" customHeight="1" spans="1:12">
      <c r="A70" s="20">
        <v>64</v>
      </c>
      <c r="B70" s="38" t="s">
        <v>457</v>
      </c>
      <c r="C70" s="39" t="s">
        <v>469</v>
      </c>
      <c r="D70" s="39" t="s">
        <v>396</v>
      </c>
      <c r="E70" s="40">
        <v>3763.7</v>
      </c>
      <c r="F70" s="39" t="s">
        <v>93</v>
      </c>
      <c r="G70" s="46">
        <v>1</v>
      </c>
      <c r="H70" s="64">
        <v>285.4</v>
      </c>
      <c r="I70" s="64">
        <v>285.4</v>
      </c>
      <c r="J70" s="64">
        <v>13.4</v>
      </c>
      <c r="K70" s="64">
        <v>13.4</v>
      </c>
      <c r="L70" s="65">
        <v>105.3</v>
      </c>
    </row>
    <row r="71" s="4" customFormat="1" ht="24.95" customHeight="1" spans="1:12">
      <c r="A71" s="20">
        <v>65</v>
      </c>
      <c r="B71" s="38" t="s">
        <v>457</v>
      </c>
      <c r="C71" s="39" t="s">
        <v>470</v>
      </c>
      <c r="D71" s="39" t="s">
        <v>396</v>
      </c>
      <c r="E71" s="40">
        <v>3675.7</v>
      </c>
      <c r="F71" s="39" t="s">
        <v>93</v>
      </c>
      <c r="G71" s="46">
        <v>1</v>
      </c>
      <c r="H71" s="64">
        <v>269.9</v>
      </c>
      <c r="I71" s="64">
        <v>269.9</v>
      </c>
      <c r="J71" s="64">
        <v>12.62</v>
      </c>
      <c r="K71" s="64">
        <v>12.62</v>
      </c>
      <c r="L71" s="65">
        <v>103.78</v>
      </c>
    </row>
    <row r="72" s="4" customFormat="1" ht="24.95" customHeight="1" spans="1:12">
      <c r="A72" s="20">
        <v>66</v>
      </c>
      <c r="B72" s="38" t="s">
        <v>457</v>
      </c>
      <c r="C72" s="39" t="s">
        <v>471</v>
      </c>
      <c r="D72" s="39" t="s">
        <v>396</v>
      </c>
      <c r="E72" s="40">
        <v>3541.2</v>
      </c>
      <c r="F72" s="39" t="s">
        <v>93</v>
      </c>
      <c r="G72" s="46">
        <v>1</v>
      </c>
      <c r="H72" s="64">
        <v>264.7</v>
      </c>
      <c r="I72" s="64">
        <v>264.7</v>
      </c>
      <c r="J72" s="64">
        <v>12.41</v>
      </c>
      <c r="K72" s="64">
        <v>12.41</v>
      </c>
      <c r="L72" s="65">
        <v>98.64</v>
      </c>
    </row>
    <row r="73" s="4" customFormat="1" ht="24.95" customHeight="1" spans="1:12">
      <c r="A73" s="20">
        <v>67</v>
      </c>
      <c r="B73" s="38" t="s">
        <v>457</v>
      </c>
      <c r="C73" s="39" t="s">
        <v>472</v>
      </c>
      <c r="D73" s="39" t="s">
        <v>396</v>
      </c>
      <c r="E73" s="40">
        <v>3083.9</v>
      </c>
      <c r="F73" s="39" t="s">
        <v>93</v>
      </c>
      <c r="G73" s="46">
        <v>1</v>
      </c>
      <c r="H73" s="64">
        <v>232.7</v>
      </c>
      <c r="I73" s="64">
        <v>232.7</v>
      </c>
      <c r="J73" s="64">
        <v>10.91</v>
      </c>
      <c r="K73" s="64">
        <v>10.91</v>
      </c>
      <c r="L73" s="65">
        <v>84.96</v>
      </c>
    </row>
    <row r="74" s="4" customFormat="1" ht="24.95" customHeight="1" spans="1:12">
      <c r="A74" s="20">
        <v>68</v>
      </c>
      <c r="B74" s="38" t="s">
        <v>457</v>
      </c>
      <c r="C74" s="39" t="s">
        <v>473</v>
      </c>
      <c r="D74" s="39" t="s">
        <v>396</v>
      </c>
      <c r="E74" s="40">
        <v>2944.3</v>
      </c>
      <c r="F74" s="39" t="s">
        <v>93</v>
      </c>
      <c r="G74" s="46">
        <v>1</v>
      </c>
      <c r="H74" s="64">
        <v>218.1</v>
      </c>
      <c r="I74" s="64">
        <v>218.1</v>
      </c>
      <c r="J74" s="64">
        <v>10.2</v>
      </c>
      <c r="K74" s="64">
        <v>10.2</v>
      </c>
      <c r="L74" s="65">
        <v>81.12</v>
      </c>
    </row>
    <row r="75" s="4" customFormat="1" ht="24.95" customHeight="1" spans="1:12">
      <c r="A75" s="20">
        <v>69</v>
      </c>
      <c r="B75" s="38" t="s">
        <v>457</v>
      </c>
      <c r="C75" s="39" t="s">
        <v>474</v>
      </c>
      <c r="D75" s="39" t="s">
        <v>396</v>
      </c>
      <c r="E75" s="40">
        <v>3029.2</v>
      </c>
      <c r="F75" s="39" t="s">
        <v>93</v>
      </c>
      <c r="G75" s="46">
        <v>1</v>
      </c>
      <c r="H75" s="64">
        <v>220.5</v>
      </c>
      <c r="I75" s="64">
        <v>220.5</v>
      </c>
      <c r="J75" s="64">
        <v>10.29</v>
      </c>
      <c r="K75" s="64">
        <v>10.29</v>
      </c>
      <c r="L75" s="65">
        <v>83.44</v>
      </c>
    </row>
    <row r="76" s="4" customFormat="1" ht="24.95" customHeight="1" spans="1:12">
      <c r="A76" s="20">
        <v>70</v>
      </c>
      <c r="B76" s="38" t="s">
        <v>457</v>
      </c>
      <c r="C76" s="39" t="s">
        <v>475</v>
      </c>
      <c r="D76" s="39" t="s">
        <v>396</v>
      </c>
      <c r="E76" s="40">
        <v>3031.8</v>
      </c>
      <c r="F76" s="39" t="s">
        <v>93</v>
      </c>
      <c r="G76" s="46">
        <v>1</v>
      </c>
      <c r="H76" s="64">
        <v>220.2</v>
      </c>
      <c r="I76" s="64">
        <v>220.2</v>
      </c>
      <c r="J76" s="64">
        <v>10.28</v>
      </c>
      <c r="K76" s="64">
        <v>10.28</v>
      </c>
      <c r="L76" s="65">
        <v>83.44</v>
      </c>
    </row>
    <row r="77" s="4" customFormat="1" ht="24.95" customHeight="1" spans="1:12">
      <c r="A77" s="20">
        <v>71</v>
      </c>
      <c r="B77" s="38" t="s">
        <v>457</v>
      </c>
      <c r="C77" s="39" t="s">
        <v>476</v>
      </c>
      <c r="D77" s="39" t="s">
        <v>396</v>
      </c>
      <c r="E77" s="40">
        <v>3029.2</v>
      </c>
      <c r="F77" s="39" t="s">
        <v>93</v>
      </c>
      <c r="G77" s="46">
        <v>1</v>
      </c>
      <c r="H77" s="64">
        <v>220.5</v>
      </c>
      <c r="I77" s="64">
        <v>220.5</v>
      </c>
      <c r="J77" s="64">
        <v>10.29</v>
      </c>
      <c r="K77" s="64">
        <v>10.29</v>
      </c>
      <c r="L77" s="65">
        <v>83.46</v>
      </c>
    </row>
    <row r="78" s="4" customFormat="1" ht="24.95" customHeight="1" spans="1:12">
      <c r="A78" s="20">
        <v>72</v>
      </c>
      <c r="B78" s="38" t="s">
        <v>457</v>
      </c>
      <c r="C78" s="39" t="s">
        <v>477</v>
      </c>
      <c r="D78" s="39" t="s">
        <v>396</v>
      </c>
      <c r="E78" s="40">
        <v>2900</v>
      </c>
      <c r="F78" s="39" t="s">
        <v>93</v>
      </c>
      <c r="G78" s="46">
        <v>1</v>
      </c>
      <c r="H78" s="64">
        <v>216.9</v>
      </c>
      <c r="I78" s="64">
        <v>216.9</v>
      </c>
      <c r="J78" s="64">
        <v>10.15</v>
      </c>
      <c r="K78" s="64">
        <v>10.15</v>
      </c>
      <c r="L78" s="65">
        <v>79.86</v>
      </c>
    </row>
    <row r="79" s="4" customFormat="1" ht="24.95" customHeight="1" spans="1:12">
      <c r="A79" s="20">
        <v>73</v>
      </c>
      <c r="B79" s="38" t="s">
        <v>457</v>
      </c>
      <c r="C79" s="39" t="s">
        <v>478</v>
      </c>
      <c r="D79" s="39" t="s">
        <v>396</v>
      </c>
      <c r="E79" s="40">
        <v>2900.2</v>
      </c>
      <c r="F79" s="39" t="s">
        <v>93</v>
      </c>
      <c r="G79" s="46">
        <v>1</v>
      </c>
      <c r="H79" s="64">
        <v>214.5</v>
      </c>
      <c r="I79" s="64">
        <v>214.5</v>
      </c>
      <c r="J79" s="64">
        <v>10.03</v>
      </c>
      <c r="K79" s="64">
        <v>10.03</v>
      </c>
      <c r="L79" s="65">
        <v>79.92</v>
      </c>
    </row>
    <row r="80" s="4" customFormat="1" ht="24.95" customHeight="1" spans="1:12">
      <c r="A80" s="20">
        <v>74</v>
      </c>
      <c r="B80" s="38" t="s">
        <v>457</v>
      </c>
      <c r="C80" s="39" t="s">
        <v>479</v>
      </c>
      <c r="D80" s="39" t="s">
        <v>396</v>
      </c>
      <c r="E80" s="40">
        <v>2900.2</v>
      </c>
      <c r="F80" s="39" t="s">
        <v>93</v>
      </c>
      <c r="G80" s="46">
        <v>1</v>
      </c>
      <c r="H80" s="64">
        <v>216.9</v>
      </c>
      <c r="I80" s="64">
        <v>216.9</v>
      </c>
      <c r="J80" s="64">
        <v>10.15</v>
      </c>
      <c r="K80" s="64">
        <v>10.15</v>
      </c>
      <c r="L80" s="65">
        <v>79.92</v>
      </c>
    </row>
    <row r="81" s="31" customFormat="1" ht="24.95" customHeight="1" spans="1:13">
      <c r="A81" s="26"/>
      <c r="B81" s="42"/>
      <c r="C81" s="26"/>
      <c r="D81" s="26"/>
      <c r="E81" s="27"/>
      <c r="F81" s="26" t="s">
        <v>522</v>
      </c>
      <c r="G81" s="28">
        <f>SUM(G7:G80)</f>
        <v>269</v>
      </c>
      <c r="H81" s="29"/>
      <c r="I81" s="29">
        <f>SUM(I7:I80)</f>
        <v>15853.2</v>
      </c>
      <c r="J81" s="29" t="s">
        <v>24</v>
      </c>
      <c r="K81" s="29">
        <f>SUM(K7:K80)</f>
        <v>781.73</v>
      </c>
      <c r="L81" s="26"/>
      <c r="M81" s="30" t="s">
        <v>523</v>
      </c>
    </row>
    <row r="83" ht="24.95" customHeight="1" spans="2:8">
      <c r="B83" s="66" t="s">
        <v>526</v>
      </c>
      <c r="C83" s="66"/>
      <c r="D83" s="66"/>
      <c r="E83" s="66"/>
      <c r="F83" s="66"/>
      <c r="G83" s="66"/>
      <c r="H83" s="66"/>
    </row>
  </sheetData>
  <mergeCells count="10">
    <mergeCell ref="A1:L1"/>
    <mergeCell ref="A2:G2"/>
    <mergeCell ref="H2:L2"/>
    <mergeCell ref="A3:B3"/>
    <mergeCell ref="C3:L3"/>
    <mergeCell ref="A4:B4"/>
    <mergeCell ref="C4:L4"/>
    <mergeCell ref="A5:B5"/>
    <mergeCell ref="C5:L5"/>
    <mergeCell ref="B83:H83"/>
  </mergeCells>
  <printOptions horizontalCentered="1"/>
  <pageMargins left="0.590551181102362" right="0.196850393700787" top="0.393700787401575" bottom="0.393700787401575" header="0.511811023622047" footer="0.15748031496063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FFC000"/>
  </sheetPr>
  <dimension ref="A1:M42"/>
  <sheetViews>
    <sheetView view="pageBreakPreview" zoomScale="55" zoomScaleNormal="100" workbookViewId="0">
      <pane ySplit="6" topLeftCell="A10" activePane="bottomLeft" state="frozen"/>
      <selection/>
      <selection pane="bottomLeft" activeCell="I41" sqref="I41"/>
    </sheetView>
  </sheetViews>
  <sheetFormatPr defaultColWidth="9" defaultRowHeight="14.25"/>
  <cols>
    <col min="1" max="1" width="5.625" style="5" customWidth="1"/>
    <col min="2" max="2" width="15.625" style="6" customWidth="1"/>
    <col min="3" max="3" width="15.625" style="5" customWidth="1"/>
    <col min="4" max="4" width="25.625" style="5" customWidth="1"/>
    <col min="5" max="5" width="12.625" style="32" customWidth="1"/>
    <col min="6" max="6" width="12.625" style="5" customWidth="1"/>
    <col min="7" max="7" width="12.625" style="33" customWidth="1"/>
    <col min="8" max="8" width="12.625" style="34" customWidth="1"/>
    <col min="9" max="9" width="17.625" style="11" customWidth="1"/>
    <col min="10" max="10" width="13.625" style="43" customWidth="1"/>
    <col min="11" max="11" width="15.625" style="43" customWidth="1"/>
    <col min="12" max="12" width="15.625" style="35" customWidth="1"/>
    <col min="13" max="16384" width="9" style="12"/>
  </cols>
  <sheetData>
    <row r="1" ht="30" customHeight="1" spans="1:12">
      <c r="A1" s="13" t="s">
        <v>0</v>
      </c>
      <c r="B1" s="13"/>
      <c r="C1" s="13"/>
      <c r="D1" s="13"/>
      <c r="E1" s="13"/>
      <c r="F1" s="13"/>
      <c r="G1" s="13"/>
      <c r="H1" s="14"/>
      <c r="I1" s="13"/>
      <c r="J1" s="13"/>
      <c r="K1" s="13"/>
      <c r="L1" s="13"/>
    </row>
    <row r="2" ht="50.1" customHeight="1" spans="1:12">
      <c r="A2" s="15" t="str">
        <f>清单封面!E16</f>
        <v>构件清单-5</v>
      </c>
      <c r="B2" s="15"/>
      <c r="C2" s="15"/>
      <c r="D2" s="15"/>
      <c r="E2" s="15"/>
      <c r="F2" s="15"/>
      <c r="G2" s="15"/>
      <c r="H2" s="16" t="str">
        <f>清单封面!F16</f>
        <v>(檩条&amp;拉条)</v>
      </c>
      <c r="I2" s="16"/>
      <c r="J2" s="16"/>
      <c r="K2" s="16"/>
      <c r="L2" s="16"/>
    </row>
    <row r="3" s="1" customFormat="1" ht="24.95" customHeight="1" spans="1:12">
      <c r="A3" s="3"/>
      <c r="B3" s="3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="2" customFormat="1" ht="24.95" customHeight="1" spans="1:12">
      <c r="A4" s="13" t="str">
        <f>清单封面!B7</f>
        <v>工 程 名 称：</v>
      </c>
      <c r="B4" s="13"/>
      <c r="C4" s="13" t="str">
        <f>清单封面!C7</f>
        <v>第三选矿区C栋宿舍</v>
      </c>
      <c r="D4" s="13"/>
      <c r="E4" s="13"/>
      <c r="F4" s="13"/>
      <c r="G4" s="13"/>
      <c r="H4" s="13"/>
      <c r="I4" s="13"/>
      <c r="J4" s="13"/>
      <c r="K4" s="13"/>
      <c r="L4" s="13"/>
    </row>
    <row r="5" s="2" customFormat="1" ht="24.95" customHeight="1" spans="1:12">
      <c r="A5" s="13" t="str">
        <f>清单封面!B8</f>
        <v>工 程 编 号：</v>
      </c>
      <c r="B5" s="13"/>
      <c r="C5" s="13" t="str">
        <f>清单封面!I16</f>
        <v>HA24575</v>
      </c>
      <c r="D5" s="13"/>
      <c r="E5" s="13"/>
      <c r="F5" s="13"/>
      <c r="G5" s="13"/>
      <c r="H5" s="13"/>
      <c r="I5" s="13"/>
      <c r="J5" s="13"/>
      <c r="K5" s="13"/>
      <c r="L5" s="13"/>
    </row>
    <row r="6" s="3" customFormat="1" ht="24.95" customHeight="1" spans="1:12">
      <c r="A6" s="18" t="s">
        <v>13</v>
      </c>
      <c r="B6" s="59" t="s">
        <v>82</v>
      </c>
      <c r="C6" s="18" t="s">
        <v>83</v>
      </c>
      <c r="D6" s="18" t="s">
        <v>84</v>
      </c>
      <c r="E6" s="18" t="s">
        <v>85</v>
      </c>
      <c r="F6" s="18" t="s">
        <v>73</v>
      </c>
      <c r="G6" s="18" t="s">
        <v>72</v>
      </c>
      <c r="H6" s="19" t="s">
        <v>86</v>
      </c>
      <c r="I6" s="19" t="s">
        <v>87</v>
      </c>
      <c r="J6" s="19" t="s">
        <v>88</v>
      </c>
      <c r="K6" s="19" t="s">
        <v>89</v>
      </c>
      <c r="L6" s="19" t="s">
        <v>16</v>
      </c>
    </row>
    <row r="7" s="4" customFormat="1" ht="24.95" customHeight="1" spans="1:12">
      <c r="A7" s="20">
        <v>1</v>
      </c>
      <c r="B7" s="20"/>
      <c r="C7" s="60"/>
      <c r="D7" s="60"/>
      <c r="E7" s="61"/>
      <c r="F7" s="60"/>
      <c r="G7" s="60"/>
      <c r="H7" s="62"/>
      <c r="I7" s="62"/>
      <c r="J7" s="62"/>
      <c r="K7" s="62"/>
      <c r="L7" s="38"/>
    </row>
    <row r="8" s="4" customFormat="1" ht="24.95" customHeight="1" spans="1:12">
      <c r="A8" s="20">
        <v>2</v>
      </c>
      <c r="B8" s="20"/>
      <c r="C8" s="60"/>
      <c r="D8" s="60"/>
      <c r="E8" s="61"/>
      <c r="F8" s="60"/>
      <c r="G8" s="60"/>
      <c r="H8" s="62"/>
      <c r="I8" s="62"/>
      <c r="J8" s="62"/>
      <c r="K8" s="62"/>
      <c r="L8" s="38"/>
    </row>
    <row r="9" s="4" customFormat="1" ht="24.95" customHeight="1" spans="1:12">
      <c r="A9" s="20">
        <v>3</v>
      </c>
      <c r="B9" s="20"/>
      <c r="C9" s="60"/>
      <c r="D9" s="60"/>
      <c r="E9" s="61"/>
      <c r="F9" s="60"/>
      <c r="G9" s="60"/>
      <c r="H9" s="62"/>
      <c r="I9" s="62"/>
      <c r="J9" s="62"/>
      <c r="K9" s="62"/>
      <c r="L9" s="38"/>
    </row>
    <row r="10" s="4" customFormat="1" ht="24.95" customHeight="1" spans="1:12">
      <c r="A10" s="20">
        <v>4</v>
      </c>
      <c r="B10" s="20"/>
      <c r="C10" s="60"/>
      <c r="D10" s="60"/>
      <c r="E10" s="61"/>
      <c r="F10" s="60"/>
      <c r="G10" s="60"/>
      <c r="H10" s="62"/>
      <c r="I10" s="62"/>
      <c r="J10" s="62"/>
      <c r="K10" s="62"/>
      <c r="L10" s="38"/>
    </row>
    <row r="11" s="4" customFormat="1" ht="24.95" customHeight="1" spans="1:12">
      <c r="A11" s="20">
        <v>5</v>
      </c>
      <c r="B11" s="20"/>
      <c r="C11" s="60"/>
      <c r="D11" s="60"/>
      <c r="E11" s="61"/>
      <c r="F11" s="60"/>
      <c r="G11" s="60"/>
      <c r="H11" s="41"/>
      <c r="I11" s="41"/>
      <c r="J11" s="41"/>
      <c r="K11" s="41"/>
      <c r="L11" s="38"/>
    </row>
    <row r="12" s="4" customFormat="1" ht="24.95" customHeight="1" spans="1:12">
      <c r="A12" s="20">
        <v>6</v>
      </c>
      <c r="B12" s="20"/>
      <c r="C12" s="60"/>
      <c r="D12" s="60"/>
      <c r="E12" s="61"/>
      <c r="F12" s="60"/>
      <c r="G12" s="60"/>
      <c r="H12" s="41"/>
      <c r="I12" s="41"/>
      <c r="J12" s="41"/>
      <c r="K12" s="41"/>
      <c r="L12" s="38"/>
    </row>
    <row r="13" s="4" customFormat="1" ht="24.95" customHeight="1" spans="1:12">
      <c r="A13" s="20">
        <v>7</v>
      </c>
      <c r="B13" s="20"/>
      <c r="C13" s="60"/>
      <c r="D13" s="60"/>
      <c r="E13" s="61"/>
      <c r="F13" s="60"/>
      <c r="G13" s="60"/>
      <c r="H13" s="41"/>
      <c r="I13" s="41"/>
      <c r="J13" s="41"/>
      <c r="K13" s="41"/>
      <c r="L13" s="38"/>
    </row>
    <row r="14" s="4" customFormat="1" ht="24.95" customHeight="1" spans="1:12">
      <c r="A14" s="20">
        <v>8</v>
      </c>
      <c r="B14" s="20"/>
      <c r="C14" s="60"/>
      <c r="D14" s="60"/>
      <c r="E14" s="61"/>
      <c r="F14" s="60"/>
      <c r="G14" s="60"/>
      <c r="H14" s="41"/>
      <c r="I14" s="41"/>
      <c r="J14" s="41"/>
      <c r="K14" s="41"/>
      <c r="L14" s="38"/>
    </row>
    <row r="15" s="4" customFormat="1" ht="24.95" customHeight="1" spans="1:12">
      <c r="A15" s="20">
        <v>9</v>
      </c>
      <c r="B15" s="20"/>
      <c r="C15" s="60"/>
      <c r="D15" s="60"/>
      <c r="E15" s="61"/>
      <c r="F15" s="60"/>
      <c r="G15" s="60"/>
      <c r="H15" s="41"/>
      <c r="I15" s="41"/>
      <c r="J15" s="41"/>
      <c r="K15" s="41"/>
      <c r="L15" s="38"/>
    </row>
    <row r="16" s="4" customFormat="1" ht="24.95" customHeight="1" spans="1:12">
      <c r="A16" s="20">
        <v>10</v>
      </c>
      <c r="B16" s="20"/>
      <c r="C16" s="60"/>
      <c r="D16" s="60"/>
      <c r="E16" s="61"/>
      <c r="F16" s="60"/>
      <c r="G16" s="60"/>
      <c r="H16" s="41"/>
      <c r="I16" s="41"/>
      <c r="J16" s="41"/>
      <c r="K16" s="41"/>
      <c r="L16" s="38"/>
    </row>
    <row r="17" s="4" customFormat="1" ht="24.95" customHeight="1" spans="1:12">
      <c r="A17" s="20">
        <v>11</v>
      </c>
      <c r="B17" s="20"/>
      <c r="C17" s="60"/>
      <c r="D17" s="60"/>
      <c r="E17" s="61"/>
      <c r="F17" s="60"/>
      <c r="G17" s="60"/>
      <c r="H17" s="41"/>
      <c r="I17" s="41"/>
      <c r="J17" s="41"/>
      <c r="K17" s="41"/>
      <c r="L17" s="38"/>
    </row>
    <row r="18" s="4" customFormat="1" ht="24.95" customHeight="1" spans="1:12">
      <c r="A18" s="20">
        <v>12</v>
      </c>
      <c r="B18" s="20"/>
      <c r="C18" s="60"/>
      <c r="D18" s="60"/>
      <c r="E18" s="61"/>
      <c r="F18" s="60"/>
      <c r="G18" s="60"/>
      <c r="H18" s="41"/>
      <c r="I18" s="41"/>
      <c r="J18" s="41"/>
      <c r="K18" s="41"/>
      <c r="L18" s="38"/>
    </row>
    <row r="19" s="4" customFormat="1" ht="24.95" customHeight="1" spans="1:12">
      <c r="A19" s="20">
        <v>13</v>
      </c>
      <c r="B19" s="20"/>
      <c r="C19" s="60"/>
      <c r="D19" s="60"/>
      <c r="E19" s="61"/>
      <c r="F19" s="60"/>
      <c r="G19" s="60"/>
      <c r="H19" s="41"/>
      <c r="I19" s="41"/>
      <c r="J19" s="41"/>
      <c r="K19" s="41"/>
      <c r="L19" s="38"/>
    </row>
    <row r="20" s="4" customFormat="1" ht="24.95" customHeight="1" spans="1:12">
      <c r="A20" s="20">
        <v>14</v>
      </c>
      <c r="B20" s="20"/>
      <c r="C20" s="60"/>
      <c r="D20" s="60"/>
      <c r="E20" s="61"/>
      <c r="F20" s="60"/>
      <c r="G20" s="60"/>
      <c r="H20" s="41"/>
      <c r="I20" s="41"/>
      <c r="J20" s="41"/>
      <c r="K20" s="41"/>
      <c r="L20" s="38"/>
    </row>
    <row r="21" s="4" customFormat="1" ht="24.95" customHeight="1" spans="1:12">
      <c r="A21" s="20">
        <v>15</v>
      </c>
      <c r="B21" s="20"/>
      <c r="C21" s="60"/>
      <c r="D21" s="60"/>
      <c r="E21" s="61"/>
      <c r="F21" s="60"/>
      <c r="G21" s="60"/>
      <c r="H21" s="41"/>
      <c r="I21" s="41"/>
      <c r="J21" s="41"/>
      <c r="K21" s="41"/>
      <c r="L21" s="38"/>
    </row>
    <row r="22" s="4" customFormat="1" ht="24.95" customHeight="1" spans="1:12">
      <c r="A22" s="20">
        <v>16</v>
      </c>
      <c r="B22" s="20"/>
      <c r="C22" s="60"/>
      <c r="D22" s="60"/>
      <c r="E22" s="61"/>
      <c r="F22" s="60"/>
      <c r="G22" s="60"/>
      <c r="H22" s="41"/>
      <c r="I22" s="41"/>
      <c r="J22" s="41"/>
      <c r="K22" s="41"/>
      <c r="L22" s="38"/>
    </row>
    <row r="23" s="4" customFormat="1" ht="24.95" customHeight="1" spans="1:12">
      <c r="A23" s="20">
        <v>17</v>
      </c>
      <c r="B23" s="20"/>
      <c r="C23" s="60"/>
      <c r="D23" s="60"/>
      <c r="E23" s="61"/>
      <c r="F23" s="60"/>
      <c r="G23" s="60"/>
      <c r="H23" s="41"/>
      <c r="I23" s="41"/>
      <c r="J23" s="41"/>
      <c r="K23" s="41"/>
      <c r="L23" s="38"/>
    </row>
    <row r="24" s="4" customFormat="1" ht="24.95" customHeight="1" spans="1:12">
      <c r="A24" s="20">
        <v>18</v>
      </c>
      <c r="B24" s="20"/>
      <c r="C24" s="60"/>
      <c r="D24" s="60"/>
      <c r="E24" s="61"/>
      <c r="F24" s="60"/>
      <c r="G24" s="60"/>
      <c r="H24" s="41"/>
      <c r="I24" s="41"/>
      <c r="J24" s="41"/>
      <c r="K24" s="41"/>
      <c r="L24" s="38"/>
    </row>
    <row r="25" s="4" customFormat="1" ht="24.95" customHeight="1" spans="1:12">
      <c r="A25" s="20">
        <v>19</v>
      </c>
      <c r="B25" s="20"/>
      <c r="C25" s="60"/>
      <c r="D25" s="60"/>
      <c r="E25" s="61"/>
      <c r="F25" s="60"/>
      <c r="G25" s="60"/>
      <c r="H25" s="41"/>
      <c r="I25" s="41"/>
      <c r="J25" s="41"/>
      <c r="K25" s="41"/>
      <c r="L25" s="38"/>
    </row>
    <row r="26" s="4" customFormat="1" ht="24.95" customHeight="1" spans="1:12">
      <c r="A26" s="20">
        <v>20</v>
      </c>
      <c r="B26" s="20"/>
      <c r="C26" s="60"/>
      <c r="D26" s="60"/>
      <c r="E26" s="61"/>
      <c r="F26" s="60"/>
      <c r="G26" s="60"/>
      <c r="H26" s="41"/>
      <c r="I26" s="41"/>
      <c r="J26" s="41"/>
      <c r="K26" s="41"/>
      <c r="L26" s="38"/>
    </row>
    <row r="27" s="4" customFormat="1" ht="24.95" customHeight="1" spans="1:12">
      <c r="A27" s="20">
        <v>21</v>
      </c>
      <c r="B27" s="20"/>
      <c r="C27" s="60"/>
      <c r="D27" s="60"/>
      <c r="E27" s="61"/>
      <c r="F27" s="60"/>
      <c r="G27" s="60"/>
      <c r="H27" s="41"/>
      <c r="I27" s="41"/>
      <c r="J27" s="41"/>
      <c r="K27" s="41"/>
      <c r="L27" s="38"/>
    </row>
    <row r="28" s="4" customFormat="1" ht="24.95" customHeight="1" spans="1:12">
      <c r="A28" s="20">
        <v>22</v>
      </c>
      <c r="B28" s="20"/>
      <c r="C28" s="60"/>
      <c r="D28" s="60"/>
      <c r="E28" s="61"/>
      <c r="F28" s="60"/>
      <c r="G28" s="60"/>
      <c r="H28" s="41"/>
      <c r="I28" s="41"/>
      <c r="J28" s="41"/>
      <c r="K28" s="41"/>
      <c r="L28" s="38"/>
    </row>
    <row r="29" s="4" customFormat="1" ht="24.95" customHeight="1" spans="1:12">
      <c r="A29" s="20">
        <v>23</v>
      </c>
      <c r="B29" s="20"/>
      <c r="C29" s="60"/>
      <c r="D29" s="60"/>
      <c r="E29" s="61"/>
      <c r="F29" s="60"/>
      <c r="G29" s="60"/>
      <c r="H29" s="41"/>
      <c r="I29" s="41"/>
      <c r="J29" s="41"/>
      <c r="K29" s="41"/>
      <c r="L29" s="38"/>
    </row>
    <row r="30" s="4" customFormat="1" ht="24.95" customHeight="1" spans="1:12">
      <c r="A30" s="20">
        <v>24</v>
      </c>
      <c r="B30" s="20"/>
      <c r="C30" s="60"/>
      <c r="D30" s="60"/>
      <c r="E30" s="61"/>
      <c r="F30" s="60"/>
      <c r="G30" s="60"/>
      <c r="H30" s="41"/>
      <c r="I30" s="41"/>
      <c r="J30" s="41"/>
      <c r="K30" s="41"/>
      <c r="L30" s="38"/>
    </row>
    <row r="31" s="4" customFormat="1" ht="24.95" customHeight="1" spans="1:12">
      <c r="A31" s="20">
        <v>25</v>
      </c>
      <c r="B31" s="20"/>
      <c r="C31" s="60"/>
      <c r="D31" s="60"/>
      <c r="E31" s="61"/>
      <c r="F31" s="60"/>
      <c r="G31" s="60"/>
      <c r="H31" s="41"/>
      <c r="I31" s="41"/>
      <c r="J31" s="41"/>
      <c r="K31" s="41"/>
      <c r="L31" s="38"/>
    </row>
    <row r="32" s="4" customFormat="1" ht="24.95" customHeight="1" spans="1:12">
      <c r="A32" s="20">
        <v>26</v>
      </c>
      <c r="B32" s="20"/>
      <c r="C32" s="60"/>
      <c r="D32" s="60"/>
      <c r="E32" s="61"/>
      <c r="F32" s="60"/>
      <c r="G32" s="60"/>
      <c r="H32" s="41"/>
      <c r="I32" s="41"/>
      <c r="J32" s="41"/>
      <c r="K32" s="41"/>
      <c r="L32" s="38"/>
    </row>
    <row r="33" s="4" customFormat="1" ht="24.95" customHeight="1" spans="1:12">
      <c r="A33" s="20">
        <v>27</v>
      </c>
      <c r="B33" s="20"/>
      <c r="C33" s="60"/>
      <c r="D33" s="60"/>
      <c r="E33" s="61"/>
      <c r="F33" s="60"/>
      <c r="G33" s="60"/>
      <c r="H33" s="41"/>
      <c r="I33" s="41"/>
      <c r="J33" s="41"/>
      <c r="K33" s="41"/>
      <c r="L33" s="38"/>
    </row>
    <row r="34" s="4" customFormat="1" ht="24.95" customHeight="1" spans="1:12">
      <c r="A34" s="20">
        <v>28</v>
      </c>
      <c r="B34" s="20"/>
      <c r="C34" s="60"/>
      <c r="D34" s="60"/>
      <c r="E34" s="61"/>
      <c r="F34" s="60"/>
      <c r="G34" s="60"/>
      <c r="H34" s="41"/>
      <c r="I34" s="41"/>
      <c r="J34" s="41"/>
      <c r="K34" s="41"/>
      <c r="L34" s="38"/>
    </row>
    <row r="35" s="4" customFormat="1" ht="24.95" customHeight="1" spans="1:12">
      <c r="A35" s="20">
        <v>29</v>
      </c>
      <c r="B35" s="20"/>
      <c r="C35" s="60"/>
      <c r="D35" s="60"/>
      <c r="E35" s="61"/>
      <c r="F35" s="60"/>
      <c r="G35" s="60"/>
      <c r="H35" s="41"/>
      <c r="I35" s="41"/>
      <c r="J35" s="41"/>
      <c r="K35" s="41"/>
      <c r="L35" s="38"/>
    </row>
    <row r="36" s="4" customFormat="1" ht="24.95" customHeight="1" spans="1:12">
      <c r="A36" s="20">
        <v>30</v>
      </c>
      <c r="B36" s="20"/>
      <c r="C36" s="60"/>
      <c r="D36" s="60"/>
      <c r="E36" s="61"/>
      <c r="F36" s="60"/>
      <c r="G36" s="60"/>
      <c r="H36" s="41"/>
      <c r="I36" s="41"/>
      <c r="J36" s="41"/>
      <c r="K36" s="41"/>
      <c r="L36" s="38"/>
    </row>
    <row r="37" s="4" customFormat="1" ht="24.95" customHeight="1" spans="1:12">
      <c r="A37" s="20">
        <v>31</v>
      </c>
      <c r="B37" s="20"/>
      <c r="C37" s="60"/>
      <c r="D37" s="60"/>
      <c r="E37" s="61"/>
      <c r="F37" s="60"/>
      <c r="G37" s="60"/>
      <c r="H37" s="41"/>
      <c r="I37" s="41"/>
      <c r="J37" s="41"/>
      <c r="K37" s="41"/>
      <c r="L37" s="38"/>
    </row>
    <row r="38" s="4" customFormat="1" ht="24.95" customHeight="1" spans="1:12">
      <c r="A38" s="20">
        <v>32</v>
      </c>
      <c r="B38" s="20"/>
      <c r="C38" s="60"/>
      <c r="D38" s="60"/>
      <c r="E38" s="61"/>
      <c r="F38" s="60"/>
      <c r="G38" s="60"/>
      <c r="H38" s="41"/>
      <c r="I38" s="41"/>
      <c r="J38" s="41"/>
      <c r="K38" s="41"/>
      <c r="L38" s="38"/>
    </row>
    <row r="39" s="4" customFormat="1" ht="24.95" customHeight="1" spans="1:12">
      <c r="A39" s="20"/>
      <c r="B39" s="20"/>
      <c r="C39" s="60"/>
      <c r="D39" s="60"/>
      <c r="E39" s="61"/>
      <c r="F39" s="60"/>
      <c r="G39" s="60"/>
      <c r="H39" s="41"/>
      <c r="I39" s="41"/>
      <c r="J39" s="41"/>
      <c r="K39" s="41"/>
      <c r="L39" s="38"/>
    </row>
    <row r="40" s="4" customFormat="1" ht="24.95" customHeight="1" spans="1:12">
      <c r="A40" s="20">
        <v>33</v>
      </c>
      <c r="B40" s="20"/>
      <c r="C40" s="60"/>
      <c r="D40" s="60"/>
      <c r="E40" s="61"/>
      <c r="F40" s="60"/>
      <c r="G40" s="60"/>
      <c r="H40" s="41"/>
      <c r="I40" s="41"/>
      <c r="J40" s="41"/>
      <c r="K40" s="41"/>
      <c r="L40" s="38"/>
    </row>
    <row r="41" s="4" customFormat="1" ht="24.95" customHeight="1" spans="1:12">
      <c r="A41" s="20"/>
      <c r="B41" s="20"/>
      <c r="C41" s="60"/>
      <c r="D41" s="60"/>
      <c r="E41" s="61"/>
      <c r="F41" s="60"/>
      <c r="G41" s="60"/>
      <c r="H41" s="41"/>
      <c r="I41" s="41"/>
      <c r="J41" s="41"/>
      <c r="K41" s="41"/>
      <c r="L41" s="38"/>
    </row>
    <row r="42" ht="24.95" customHeight="1" spans="1:13">
      <c r="A42" s="26"/>
      <c r="B42" s="42"/>
      <c r="C42" s="26"/>
      <c r="D42" s="26"/>
      <c r="E42" s="27"/>
      <c r="F42" s="26" t="s">
        <v>522</v>
      </c>
      <c r="G42" s="28">
        <f>SUM(G7:G41)</f>
        <v>0</v>
      </c>
      <c r="H42" s="29"/>
      <c r="I42" s="29">
        <f>SUM(I7:I41)</f>
        <v>0</v>
      </c>
      <c r="J42" s="29" t="s">
        <v>24</v>
      </c>
      <c r="K42" s="29">
        <f>SUM(K7:K41)</f>
        <v>0</v>
      </c>
      <c r="L42" s="26"/>
      <c r="M42" s="30" t="s">
        <v>523</v>
      </c>
    </row>
  </sheetData>
  <mergeCells count="9">
    <mergeCell ref="A1:L1"/>
    <mergeCell ref="A2:G2"/>
    <mergeCell ref="H2:L2"/>
    <mergeCell ref="A3:B3"/>
    <mergeCell ref="C3:L3"/>
    <mergeCell ref="A4:B4"/>
    <mergeCell ref="C4:L4"/>
    <mergeCell ref="A5:B5"/>
    <mergeCell ref="C5:L5"/>
  </mergeCells>
  <printOptions horizontalCentered="1"/>
  <pageMargins left="0.590551181102362" right="0.196850393700787" top="0.393700787401575" bottom="0.393700787401575" header="0.511811023622047" footer="0.15748031496063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rgb="FF00B050"/>
  </sheetPr>
  <dimension ref="A1:T214"/>
  <sheetViews>
    <sheetView view="pageBreakPreview" zoomScale="55" zoomScaleNormal="100" workbookViewId="0">
      <pane ySplit="6" topLeftCell="A100" activePane="bottomLeft" state="frozen"/>
      <selection/>
      <selection pane="bottomLeft" activeCell="U189" sqref="U189"/>
    </sheetView>
  </sheetViews>
  <sheetFormatPr defaultColWidth="9" defaultRowHeight="20.25"/>
  <cols>
    <col min="1" max="1" width="5.625" style="5" customWidth="1"/>
    <col min="2" max="2" width="15.625" style="6" customWidth="1"/>
    <col min="3" max="3" width="15.625" style="5" customWidth="1"/>
    <col min="4" max="4" width="25.625" style="5" customWidth="1"/>
    <col min="5" max="5" width="12.625" style="32" customWidth="1"/>
    <col min="6" max="6" width="12.625" style="5" customWidth="1"/>
    <col min="7" max="7" width="12.625" style="33" customWidth="1"/>
    <col min="8" max="8" width="12.625" style="34" customWidth="1"/>
    <col min="9" max="9" width="17.625" style="11" customWidth="1"/>
    <col min="10" max="10" width="13.625" style="43" customWidth="1"/>
    <col min="11" max="11" width="15.625" style="43" customWidth="1"/>
    <col min="12" max="12" width="15.625" style="35" customWidth="1"/>
    <col min="13" max="15" width="9" style="44"/>
    <col min="16" max="16" width="9.5" style="44" customWidth="1"/>
    <col min="17" max="20" width="9" style="44"/>
    <col min="21" max="16384" width="9" style="12"/>
  </cols>
  <sheetData>
    <row r="1" ht="30" customHeight="1" spans="1:12">
      <c r="A1" s="13" t="s">
        <v>0</v>
      </c>
      <c r="B1" s="13"/>
      <c r="C1" s="13"/>
      <c r="D1" s="13"/>
      <c r="E1" s="13"/>
      <c r="F1" s="13"/>
      <c r="G1" s="13"/>
      <c r="H1" s="14"/>
      <c r="I1" s="13"/>
      <c r="J1" s="13"/>
      <c r="K1" s="13"/>
      <c r="L1" s="13"/>
    </row>
    <row r="2" ht="50.1" customHeight="1" spans="1:12">
      <c r="A2" s="15" t="str">
        <f>清单封面!E17</f>
        <v>零件清单</v>
      </c>
      <c r="B2" s="15"/>
      <c r="C2" s="15"/>
      <c r="D2" s="15"/>
      <c r="E2" s="15"/>
      <c r="F2" s="15"/>
      <c r="G2" s="15"/>
      <c r="H2" s="45" t="str">
        <f>清单封面!F17</f>
        <v>(仅小板件)</v>
      </c>
      <c r="I2" s="45"/>
      <c r="J2" s="45"/>
      <c r="K2" s="45"/>
      <c r="L2" s="45"/>
    </row>
    <row r="3" s="1" customFormat="1" ht="24.95" customHeight="1" spans="1:20">
      <c r="A3" s="3"/>
      <c r="B3" s="3"/>
      <c r="C3" s="37"/>
      <c r="D3" s="37"/>
      <c r="E3" s="37"/>
      <c r="F3" s="37"/>
      <c r="G3" s="37"/>
      <c r="H3" s="37"/>
      <c r="I3" s="37"/>
      <c r="J3" s="37"/>
      <c r="K3" s="37"/>
      <c r="L3" s="37"/>
      <c r="M3" s="44"/>
      <c r="N3" s="44"/>
      <c r="O3" s="44"/>
      <c r="P3" s="44"/>
      <c r="Q3" s="44"/>
      <c r="R3" s="44"/>
      <c r="S3" s="44"/>
      <c r="T3" s="44"/>
    </row>
    <row r="4" s="2" customFormat="1" ht="24.95" customHeight="1" spans="1:20">
      <c r="A4" s="13" t="str">
        <f>清单封面!B7</f>
        <v>工 程 名 称：</v>
      </c>
      <c r="B4" s="13"/>
      <c r="C4" s="13" t="str">
        <f>清单封面!C7</f>
        <v>第三选矿区C栋宿舍</v>
      </c>
      <c r="D4" s="13"/>
      <c r="E4" s="13"/>
      <c r="F4" s="13"/>
      <c r="G4" s="13"/>
      <c r="H4" s="13"/>
      <c r="I4" s="13"/>
      <c r="J4" s="13"/>
      <c r="K4" s="13"/>
      <c r="L4" s="13"/>
      <c r="M4" s="44"/>
      <c r="N4" s="44"/>
      <c r="O4" s="44"/>
      <c r="P4" s="44"/>
      <c r="Q4" s="44"/>
      <c r="R4" s="44"/>
      <c r="S4" s="44"/>
      <c r="T4" s="44"/>
    </row>
    <row r="5" s="2" customFormat="1" ht="24.95" customHeight="1" spans="1:20">
      <c r="A5" s="13" t="str">
        <f>清单封面!B8</f>
        <v>工 程 编 号：</v>
      </c>
      <c r="B5" s="13"/>
      <c r="C5" s="13" t="str">
        <f>清单封面!I17</f>
        <v>HA24575</v>
      </c>
      <c r="D5" s="13"/>
      <c r="E5" s="13"/>
      <c r="F5" s="13"/>
      <c r="G5" s="13"/>
      <c r="H5" s="13"/>
      <c r="I5" s="13"/>
      <c r="J5" s="13"/>
      <c r="K5" s="13"/>
      <c r="L5" s="13"/>
      <c r="M5" s="44"/>
      <c r="N5" s="44"/>
      <c r="O5" s="44"/>
      <c r="P5" s="44"/>
      <c r="Q5" s="44"/>
      <c r="R5" s="44"/>
      <c r="S5" s="44"/>
      <c r="T5" s="44"/>
    </row>
    <row r="6" s="3" customFormat="1" ht="24.95" customHeight="1" spans="1:20">
      <c r="A6" s="18" t="s">
        <v>13</v>
      </c>
      <c r="B6" s="18"/>
      <c r="C6" s="18" t="s">
        <v>527</v>
      </c>
      <c r="D6" s="18" t="s">
        <v>84</v>
      </c>
      <c r="E6" s="18" t="s">
        <v>85</v>
      </c>
      <c r="F6" s="18" t="s">
        <v>73</v>
      </c>
      <c r="G6" s="18" t="s">
        <v>72</v>
      </c>
      <c r="H6" s="19" t="s">
        <v>86</v>
      </c>
      <c r="I6" s="19" t="s">
        <v>87</v>
      </c>
      <c r="J6" s="19" t="s">
        <v>88</v>
      </c>
      <c r="K6" s="19" t="s">
        <v>89</v>
      </c>
      <c r="L6" s="19" t="s">
        <v>16</v>
      </c>
      <c r="M6" s="53"/>
      <c r="N6" s="53"/>
      <c r="O6" s="53"/>
      <c r="P6" s="53"/>
      <c r="Q6" s="53"/>
      <c r="R6" s="53"/>
      <c r="S6" s="53"/>
      <c r="T6" s="53"/>
    </row>
    <row r="7" s="4" customFormat="1" ht="24.95" customHeight="1" spans="1:20">
      <c r="A7" s="20">
        <v>1</v>
      </c>
      <c r="B7" s="20"/>
      <c r="C7" s="38" t="s">
        <v>528</v>
      </c>
      <c r="D7" s="39" t="s">
        <v>529</v>
      </c>
      <c r="E7" s="40">
        <v>477</v>
      </c>
      <c r="F7" s="39" t="s">
        <v>93</v>
      </c>
      <c r="G7" s="46">
        <v>236</v>
      </c>
      <c r="H7" s="47">
        <v>45</v>
      </c>
      <c r="I7" s="47">
        <v>10630.8</v>
      </c>
      <c r="J7" s="47">
        <v>0.51</v>
      </c>
      <c r="K7" s="47">
        <v>120.32</v>
      </c>
      <c r="L7" s="20"/>
      <c r="M7" s="54"/>
      <c r="N7" s="54"/>
      <c r="O7" s="54"/>
      <c r="P7" s="54"/>
      <c r="Q7" s="54"/>
      <c r="R7" s="54"/>
      <c r="S7" s="54"/>
      <c r="T7" s="54"/>
    </row>
    <row r="8" s="4" customFormat="1" ht="24.95" customHeight="1" spans="1:20">
      <c r="A8" s="20">
        <v>2</v>
      </c>
      <c r="B8" s="20"/>
      <c r="C8" s="39" t="s">
        <v>530</v>
      </c>
      <c r="D8" s="39" t="s">
        <v>531</v>
      </c>
      <c r="E8" s="40">
        <v>477</v>
      </c>
      <c r="F8" s="39" t="s">
        <v>93</v>
      </c>
      <c r="G8" s="46">
        <v>88</v>
      </c>
      <c r="H8" s="47">
        <v>33.8</v>
      </c>
      <c r="I8" s="47">
        <v>2975.5</v>
      </c>
      <c r="J8" s="47">
        <v>0.41</v>
      </c>
      <c r="K8" s="47">
        <v>36.33</v>
      </c>
      <c r="L8" s="20"/>
      <c r="M8" s="54"/>
      <c r="N8" s="54"/>
      <c r="O8" s="54"/>
      <c r="P8" s="54"/>
      <c r="Q8" s="54"/>
      <c r="R8" s="54"/>
      <c r="S8" s="54"/>
      <c r="T8" s="54"/>
    </row>
    <row r="9" s="4" customFormat="1" ht="24.95" customHeight="1" spans="1:20">
      <c r="A9" s="20">
        <v>3</v>
      </c>
      <c r="B9" s="20"/>
      <c r="C9" s="39" t="s">
        <v>532</v>
      </c>
      <c r="D9" s="39" t="s">
        <v>533</v>
      </c>
      <c r="E9" s="40">
        <v>477</v>
      </c>
      <c r="F9" s="39" t="s">
        <v>93</v>
      </c>
      <c r="G9" s="46">
        <v>54</v>
      </c>
      <c r="H9" s="47">
        <v>33.4</v>
      </c>
      <c r="I9" s="47">
        <v>1801.6</v>
      </c>
      <c r="J9" s="47">
        <v>0.41</v>
      </c>
      <c r="K9" s="47">
        <v>21.99</v>
      </c>
      <c r="L9" s="20"/>
      <c r="M9" s="54"/>
      <c r="N9" s="54"/>
      <c r="O9" s="54"/>
      <c r="P9" s="54"/>
      <c r="Q9" s="54"/>
      <c r="R9" s="54"/>
      <c r="S9" s="54"/>
      <c r="T9" s="54"/>
    </row>
    <row r="10" s="4" customFormat="1" ht="24.95" customHeight="1" spans="1:20">
      <c r="A10" s="20">
        <v>4</v>
      </c>
      <c r="B10" s="20"/>
      <c r="C10" s="39" t="s">
        <v>534</v>
      </c>
      <c r="D10" s="39" t="s">
        <v>535</v>
      </c>
      <c r="E10" s="40">
        <v>448.8</v>
      </c>
      <c r="F10" s="39" t="s">
        <v>93</v>
      </c>
      <c r="G10" s="46">
        <v>32</v>
      </c>
      <c r="H10" s="47">
        <v>33.6</v>
      </c>
      <c r="I10" s="47">
        <v>1075.4</v>
      </c>
      <c r="J10" s="47">
        <v>0.4</v>
      </c>
      <c r="K10" s="47">
        <v>12.93</v>
      </c>
      <c r="L10" s="20"/>
      <c r="M10" s="54"/>
      <c r="N10" s="54"/>
      <c r="O10" s="54"/>
      <c r="P10" s="54"/>
      <c r="Q10" s="54"/>
      <c r="R10" s="54"/>
      <c r="S10" s="54"/>
      <c r="T10" s="54"/>
    </row>
    <row r="11" s="4" customFormat="1" ht="24.95" customHeight="1" spans="1:20">
      <c r="A11" s="20">
        <v>5</v>
      </c>
      <c r="B11" s="20"/>
      <c r="C11" s="39" t="s">
        <v>536</v>
      </c>
      <c r="D11" s="39" t="s">
        <v>535</v>
      </c>
      <c r="E11" s="40">
        <v>454.8</v>
      </c>
      <c r="F11" s="39" t="s">
        <v>93</v>
      </c>
      <c r="G11" s="46">
        <v>16</v>
      </c>
      <c r="H11" s="47">
        <v>34.1</v>
      </c>
      <c r="I11" s="47">
        <v>544.9</v>
      </c>
      <c r="J11" s="47">
        <v>0.41</v>
      </c>
      <c r="K11" s="47">
        <v>6.55</v>
      </c>
      <c r="L11" s="20"/>
      <c r="M11" s="54"/>
      <c r="N11" s="54"/>
      <c r="O11" s="54"/>
      <c r="P11" s="54"/>
      <c r="Q11" s="54"/>
      <c r="R11" s="54"/>
      <c r="S11" s="54"/>
      <c r="T11" s="54"/>
    </row>
    <row r="12" s="4" customFormat="1" ht="24.95" customHeight="1" spans="1:20">
      <c r="A12" s="20">
        <v>6</v>
      </c>
      <c r="B12" s="20"/>
      <c r="C12" s="39" t="s">
        <v>537</v>
      </c>
      <c r="D12" s="39" t="s">
        <v>535</v>
      </c>
      <c r="E12" s="40">
        <v>448.8</v>
      </c>
      <c r="F12" s="39" t="s">
        <v>93</v>
      </c>
      <c r="G12" s="46">
        <v>16</v>
      </c>
      <c r="H12" s="47">
        <v>33.6</v>
      </c>
      <c r="I12" s="47">
        <v>537.7</v>
      </c>
      <c r="J12" s="47">
        <v>0.4</v>
      </c>
      <c r="K12" s="47">
        <v>6.46</v>
      </c>
      <c r="L12" s="20"/>
      <c r="M12" s="54"/>
      <c r="N12" s="54"/>
      <c r="O12" s="54"/>
      <c r="P12" s="54"/>
      <c r="Q12" s="54"/>
      <c r="R12" s="54"/>
      <c r="S12" s="54"/>
      <c r="T12" s="54"/>
    </row>
    <row r="13" s="4" customFormat="1" ht="24.95" customHeight="1" spans="1:20">
      <c r="A13" s="20">
        <v>7</v>
      </c>
      <c r="B13" s="20"/>
      <c r="C13" s="39" t="s">
        <v>538</v>
      </c>
      <c r="D13" s="39" t="s">
        <v>535</v>
      </c>
      <c r="E13" s="40">
        <v>454.8</v>
      </c>
      <c r="F13" s="39" t="s">
        <v>93</v>
      </c>
      <c r="G13" s="46">
        <v>31</v>
      </c>
      <c r="H13" s="47">
        <v>34.1</v>
      </c>
      <c r="I13" s="47">
        <v>1055.8</v>
      </c>
      <c r="J13" s="47">
        <v>0.41</v>
      </c>
      <c r="K13" s="47">
        <v>12.7</v>
      </c>
      <c r="L13" s="20"/>
      <c r="M13" s="54"/>
      <c r="N13" s="54"/>
      <c r="O13" s="54"/>
      <c r="P13" s="54"/>
      <c r="Q13" s="54"/>
      <c r="R13" s="54"/>
      <c r="S13" s="54"/>
      <c r="T13" s="54"/>
    </row>
    <row r="14" s="4" customFormat="1" ht="24.95" customHeight="1" spans="1:20">
      <c r="A14" s="20">
        <v>8</v>
      </c>
      <c r="B14" s="20"/>
      <c r="C14" s="39" t="s">
        <v>539</v>
      </c>
      <c r="D14" s="39" t="s">
        <v>540</v>
      </c>
      <c r="E14" s="40">
        <v>452</v>
      </c>
      <c r="F14" s="39" t="s">
        <v>93</v>
      </c>
      <c r="G14" s="46">
        <v>208</v>
      </c>
      <c r="H14" s="47">
        <v>15.9</v>
      </c>
      <c r="I14" s="47">
        <v>3313.7</v>
      </c>
      <c r="J14" s="47">
        <v>0.23</v>
      </c>
      <c r="K14" s="47">
        <v>47.58</v>
      </c>
      <c r="L14" s="20"/>
      <c r="M14" s="54"/>
      <c r="N14" s="54"/>
      <c r="O14" s="54"/>
      <c r="P14" s="54"/>
      <c r="Q14" s="54"/>
      <c r="R14" s="54"/>
      <c r="S14" s="54"/>
      <c r="T14" s="54"/>
    </row>
    <row r="15" s="4" customFormat="1" ht="24.95" customHeight="1" spans="1:20">
      <c r="A15" s="20">
        <v>9</v>
      </c>
      <c r="B15" s="20"/>
      <c r="C15" s="39" t="s">
        <v>541</v>
      </c>
      <c r="D15" s="39" t="s">
        <v>542</v>
      </c>
      <c r="E15" s="40">
        <v>150</v>
      </c>
      <c r="F15" s="39" t="s">
        <v>93</v>
      </c>
      <c r="G15" s="46">
        <v>318</v>
      </c>
      <c r="H15" s="47">
        <v>0.8</v>
      </c>
      <c r="I15" s="47">
        <v>262.1</v>
      </c>
      <c r="J15" s="47">
        <v>0.02</v>
      </c>
      <c r="K15" s="47">
        <v>5.09</v>
      </c>
      <c r="L15" s="20"/>
      <c r="M15" s="54"/>
      <c r="N15" s="54"/>
      <c r="O15" s="54"/>
      <c r="P15" s="54"/>
      <c r="Q15" s="54"/>
      <c r="R15" s="54"/>
      <c r="S15" s="54"/>
      <c r="T15" s="54"/>
    </row>
    <row r="16" s="4" customFormat="1" ht="24.95" customHeight="1" spans="1:20">
      <c r="A16" s="20">
        <v>10</v>
      </c>
      <c r="B16" s="20"/>
      <c r="C16" s="39" t="s">
        <v>543</v>
      </c>
      <c r="D16" s="39" t="s">
        <v>542</v>
      </c>
      <c r="E16" s="40">
        <v>150</v>
      </c>
      <c r="F16" s="39" t="s">
        <v>93</v>
      </c>
      <c r="G16" s="46">
        <v>316</v>
      </c>
      <c r="H16" s="47">
        <v>0.8</v>
      </c>
      <c r="I16" s="47">
        <v>260.5</v>
      </c>
      <c r="J16" s="47">
        <v>0.02</v>
      </c>
      <c r="K16" s="47">
        <v>5.06</v>
      </c>
      <c r="L16" s="20"/>
      <c r="M16" s="54"/>
      <c r="N16" s="54"/>
      <c r="O16" s="54"/>
      <c r="P16" s="54"/>
      <c r="Q16" s="54"/>
      <c r="R16" s="54"/>
      <c r="S16" s="54"/>
      <c r="T16" s="54"/>
    </row>
    <row r="17" s="4" customFormat="1" ht="24.95" customHeight="1" spans="1:20">
      <c r="A17" s="20">
        <v>11</v>
      </c>
      <c r="B17" s="20"/>
      <c r="C17" s="39" t="s">
        <v>544</v>
      </c>
      <c r="D17" s="39" t="s">
        <v>545</v>
      </c>
      <c r="E17" s="40">
        <v>240</v>
      </c>
      <c r="F17" s="39" t="s">
        <v>93</v>
      </c>
      <c r="G17" s="46">
        <v>24</v>
      </c>
      <c r="H17" s="47">
        <v>9</v>
      </c>
      <c r="I17" s="47">
        <v>217</v>
      </c>
      <c r="J17" s="47">
        <v>0.13</v>
      </c>
      <c r="K17" s="47">
        <v>3.23</v>
      </c>
      <c r="L17" s="20"/>
      <c r="M17" s="54"/>
      <c r="N17" s="54"/>
      <c r="O17" s="54"/>
      <c r="P17" s="54"/>
      <c r="Q17" s="54"/>
      <c r="R17" s="54"/>
      <c r="S17" s="54"/>
      <c r="T17" s="54"/>
    </row>
    <row r="18" s="4" customFormat="1" ht="24.95" customHeight="1" spans="1:20">
      <c r="A18" s="20">
        <v>12</v>
      </c>
      <c r="B18" s="20"/>
      <c r="C18" s="39" t="s">
        <v>546</v>
      </c>
      <c r="D18" s="39" t="s">
        <v>547</v>
      </c>
      <c r="E18" s="40">
        <v>740</v>
      </c>
      <c r="F18" s="39" t="s">
        <v>93</v>
      </c>
      <c r="G18" s="46">
        <v>8</v>
      </c>
      <c r="H18" s="47">
        <v>62.7</v>
      </c>
      <c r="I18" s="47">
        <v>501.9</v>
      </c>
      <c r="J18" s="47">
        <v>0.85</v>
      </c>
      <c r="K18" s="47">
        <v>6.8</v>
      </c>
      <c r="L18" s="20"/>
      <c r="M18" s="54"/>
      <c r="N18" s="54"/>
      <c r="O18" s="54"/>
      <c r="P18" s="54"/>
      <c r="Q18" s="54"/>
      <c r="R18" s="54"/>
      <c r="S18" s="54"/>
      <c r="T18" s="54"/>
    </row>
    <row r="19" s="4" customFormat="1" ht="24.95" customHeight="1" spans="1:20">
      <c r="A19" s="20">
        <v>13</v>
      </c>
      <c r="B19" s="20"/>
      <c r="C19" s="39" t="s">
        <v>548</v>
      </c>
      <c r="D19" s="39" t="s">
        <v>549</v>
      </c>
      <c r="E19" s="40">
        <v>440</v>
      </c>
      <c r="F19" s="39" t="s">
        <v>93</v>
      </c>
      <c r="G19" s="46">
        <v>4</v>
      </c>
      <c r="H19" s="47">
        <v>17.4</v>
      </c>
      <c r="I19" s="47">
        <v>69.6</v>
      </c>
      <c r="J19" s="47">
        <v>0.25</v>
      </c>
      <c r="K19" s="47">
        <v>1</v>
      </c>
      <c r="L19" s="20"/>
      <c r="M19" s="54"/>
      <c r="N19" s="54"/>
      <c r="O19" s="54"/>
      <c r="P19" s="54"/>
      <c r="Q19" s="54"/>
      <c r="R19" s="54"/>
      <c r="S19" s="54"/>
      <c r="T19" s="54"/>
    </row>
    <row r="20" s="4" customFormat="1" ht="24.95" customHeight="1" spans="1:20">
      <c r="A20" s="20">
        <v>14</v>
      </c>
      <c r="B20" s="20"/>
      <c r="C20" s="39" t="s">
        <v>550</v>
      </c>
      <c r="D20" s="39" t="s">
        <v>551</v>
      </c>
      <c r="E20" s="40">
        <v>468</v>
      </c>
      <c r="F20" s="39" t="s">
        <v>93</v>
      </c>
      <c r="G20" s="46">
        <v>4</v>
      </c>
      <c r="H20" s="47">
        <v>11.7</v>
      </c>
      <c r="I20" s="47">
        <v>46.7</v>
      </c>
      <c r="J20" s="47">
        <v>0.16</v>
      </c>
      <c r="K20" s="47">
        <v>0.64</v>
      </c>
      <c r="L20" s="20"/>
      <c r="M20" s="54"/>
      <c r="N20" s="54"/>
      <c r="O20" s="54"/>
      <c r="P20" s="54"/>
      <c r="Q20" s="54"/>
      <c r="R20" s="54"/>
      <c r="S20" s="54"/>
      <c r="T20" s="54"/>
    </row>
    <row r="21" s="4" customFormat="1" ht="24.95" customHeight="1" spans="1:20">
      <c r="A21" s="20">
        <v>15</v>
      </c>
      <c r="B21" s="20"/>
      <c r="C21" s="39" t="s">
        <v>552</v>
      </c>
      <c r="D21" s="39" t="s">
        <v>551</v>
      </c>
      <c r="E21" s="40">
        <v>468</v>
      </c>
      <c r="F21" s="39" t="s">
        <v>93</v>
      </c>
      <c r="G21" s="46">
        <v>2</v>
      </c>
      <c r="H21" s="47">
        <v>11.7</v>
      </c>
      <c r="I21" s="47">
        <v>23.4</v>
      </c>
      <c r="J21" s="47">
        <v>0.16</v>
      </c>
      <c r="K21" s="47">
        <v>0.32</v>
      </c>
      <c r="L21" s="20"/>
      <c r="M21" s="54"/>
      <c r="N21" s="54"/>
      <c r="O21" s="54"/>
      <c r="P21" s="54"/>
      <c r="Q21" s="54"/>
      <c r="R21" s="54"/>
      <c r="S21" s="54"/>
      <c r="T21" s="54"/>
    </row>
    <row r="22" s="4" customFormat="1" ht="24.95" customHeight="1" spans="1:20">
      <c r="A22" s="20">
        <v>16</v>
      </c>
      <c r="B22" s="20"/>
      <c r="C22" s="39" t="s">
        <v>553</v>
      </c>
      <c r="D22" s="39" t="s">
        <v>551</v>
      </c>
      <c r="E22" s="40">
        <v>468</v>
      </c>
      <c r="F22" s="39" t="s">
        <v>93</v>
      </c>
      <c r="G22" s="46">
        <v>2</v>
      </c>
      <c r="H22" s="47">
        <v>11.7</v>
      </c>
      <c r="I22" s="47">
        <v>23.4</v>
      </c>
      <c r="J22" s="47">
        <v>0.16</v>
      </c>
      <c r="K22" s="47">
        <v>0.32</v>
      </c>
      <c r="L22" s="20"/>
      <c r="M22" s="54"/>
      <c r="N22" s="54"/>
      <c r="O22" s="54"/>
      <c r="P22" s="54"/>
      <c r="Q22" s="54"/>
      <c r="R22" s="54"/>
      <c r="S22" s="54"/>
      <c r="T22" s="54"/>
    </row>
    <row r="23" s="4" customFormat="1" ht="24.95" customHeight="1" spans="1:20">
      <c r="A23" s="20">
        <v>17</v>
      </c>
      <c r="B23" s="20"/>
      <c r="C23" s="39" t="s">
        <v>554</v>
      </c>
      <c r="D23" s="39" t="s">
        <v>551</v>
      </c>
      <c r="E23" s="40">
        <v>475.9</v>
      </c>
      <c r="F23" s="39" t="s">
        <v>93</v>
      </c>
      <c r="G23" s="46">
        <v>2</v>
      </c>
      <c r="H23" s="47">
        <v>11.9</v>
      </c>
      <c r="I23" s="47">
        <v>23.8</v>
      </c>
      <c r="J23" s="47">
        <v>0.16</v>
      </c>
      <c r="K23" s="47">
        <v>0.32</v>
      </c>
      <c r="L23" s="20"/>
      <c r="M23" s="54"/>
      <c r="N23" s="54"/>
      <c r="O23" s="54"/>
      <c r="P23" s="54"/>
      <c r="Q23" s="54"/>
      <c r="R23" s="54"/>
      <c r="S23" s="54"/>
      <c r="T23" s="54"/>
    </row>
    <row r="24" s="4" customFormat="1" ht="24.95" customHeight="1" spans="1:20">
      <c r="A24" s="20">
        <v>18</v>
      </c>
      <c r="B24" s="20"/>
      <c r="C24" s="39" t="s">
        <v>555</v>
      </c>
      <c r="D24" s="39" t="s">
        <v>551</v>
      </c>
      <c r="E24" s="40">
        <v>479.7</v>
      </c>
      <c r="F24" s="39" t="s">
        <v>93</v>
      </c>
      <c r="G24" s="46">
        <v>2</v>
      </c>
      <c r="H24" s="47">
        <v>12</v>
      </c>
      <c r="I24" s="47">
        <v>23.9</v>
      </c>
      <c r="J24" s="47">
        <v>0.16</v>
      </c>
      <c r="K24" s="47">
        <v>0.32</v>
      </c>
      <c r="L24" s="20"/>
      <c r="M24" s="54"/>
      <c r="N24" s="54"/>
      <c r="O24" s="54"/>
      <c r="P24" s="54"/>
      <c r="Q24" s="54"/>
      <c r="R24" s="54"/>
      <c r="S24" s="54"/>
      <c r="T24" s="54"/>
    </row>
    <row r="25" s="4" customFormat="1" ht="24.95" customHeight="1" spans="1:20">
      <c r="A25" s="20">
        <v>19</v>
      </c>
      <c r="B25" s="20"/>
      <c r="C25" s="39" t="s">
        <v>556</v>
      </c>
      <c r="D25" s="39" t="s">
        <v>551</v>
      </c>
      <c r="E25" s="40">
        <v>489.3</v>
      </c>
      <c r="F25" s="39" t="s">
        <v>93</v>
      </c>
      <c r="G25" s="46">
        <v>4</v>
      </c>
      <c r="H25" s="47">
        <v>12.2</v>
      </c>
      <c r="I25" s="47">
        <v>48.9</v>
      </c>
      <c r="J25" s="47">
        <v>0.16</v>
      </c>
      <c r="K25" s="47">
        <v>0.64</v>
      </c>
      <c r="L25" s="20"/>
      <c r="M25" s="54"/>
      <c r="N25" s="54"/>
      <c r="O25" s="54"/>
      <c r="P25" s="54"/>
      <c r="Q25" s="54"/>
      <c r="R25" s="54"/>
      <c r="S25" s="54"/>
      <c r="T25" s="54"/>
    </row>
    <row r="26" s="4" customFormat="1" ht="24.95" customHeight="1" spans="1:20">
      <c r="A26" s="20">
        <v>20</v>
      </c>
      <c r="B26" s="20"/>
      <c r="C26" s="39" t="s">
        <v>557</v>
      </c>
      <c r="D26" s="39" t="s">
        <v>558</v>
      </c>
      <c r="E26" s="40">
        <v>468</v>
      </c>
      <c r="F26" s="39" t="s">
        <v>93</v>
      </c>
      <c r="G26" s="46">
        <v>5</v>
      </c>
      <c r="H26" s="47">
        <v>4.2</v>
      </c>
      <c r="I26" s="47">
        <v>20.9</v>
      </c>
      <c r="J26" s="47">
        <v>0.1</v>
      </c>
      <c r="K26" s="47">
        <v>0.51</v>
      </c>
      <c r="L26" s="20"/>
      <c r="M26" s="54"/>
      <c r="N26" s="54"/>
      <c r="O26" s="54"/>
      <c r="P26" s="54"/>
      <c r="Q26" s="54"/>
      <c r="R26" s="54"/>
      <c r="S26" s="54"/>
      <c r="T26" s="54"/>
    </row>
    <row r="27" s="4" customFormat="1" ht="24.95" customHeight="1" spans="1:20">
      <c r="A27" s="20">
        <v>21</v>
      </c>
      <c r="B27" s="20"/>
      <c r="C27" s="39" t="s">
        <v>559</v>
      </c>
      <c r="D27" s="39" t="s">
        <v>558</v>
      </c>
      <c r="E27" s="40">
        <v>468</v>
      </c>
      <c r="F27" s="39" t="s">
        <v>93</v>
      </c>
      <c r="G27" s="46">
        <v>8</v>
      </c>
      <c r="H27" s="47">
        <v>4.2</v>
      </c>
      <c r="I27" s="47">
        <v>33.5</v>
      </c>
      <c r="J27" s="47">
        <v>0.1</v>
      </c>
      <c r="K27" s="47">
        <v>0.81</v>
      </c>
      <c r="L27" s="20"/>
      <c r="M27" s="54"/>
      <c r="N27" s="54"/>
      <c r="O27" s="54"/>
      <c r="P27" s="54"/>
      <c r="Q27" s="54"/>
      <c r="R27" s="54"/>
      <c r="S27" s="54"/>
      <c r="T27" s="54"/>
    </row>
    <row r="28" s="4" customFormat="1" ht="24.95" customHeight="1" spans="1:20">
      <c r="A28" s="20">
        <v>22</v>
      </c>
      <c r="B28" s="20"/>
      <c r="C28" s="39" t="s">
        <v>560</v>
      </c>
      <c r="D28" s="39" t="s">
        <v>558</v>
      </c>
      <c r="E28" s="40">
        <v>468</v>
      </c>
      <c r="F28" s="39" t="s">
        <v>93</v>
      </c>
      <c r="G28" s="46">
        <v>3</v>
      </c>
      <c r="H28" s="47">
        <v>4.2</v>
      </c>
      <c r="I28" s="47">
        <v>12.6</v>
      </c>
      <c r="J28" s="47">
        <v>0.1</v>
      </c>
      <c r="K28" s="47">
        <v>0.3</v>
      </c>
      <c r="L28" s="20"/>
      <c r="M28" s="54"/>
      <c r="N28" s="54"/>
      <c r="O28" s="54"/>
      <c r="P28" s="54"/>
      <c r="Q28" s="54"/>
      <c r="R28" s="54"/>
      <c r="S28" s="54"/>
      <c r="T28" s="54"/>
    </row>
    <row r="29" s="4" customFormat="1" ht="24.95" customHeight="1" spans="1:20">
      <c r="A29" s="20">
        <v>23</v>
      </c>
      <c r="B29" s="20"/>
      <c r="C29" s="39" t="s">
        <v>561</v>
      </c>
      <c r="D29" s="39" t="s">
        <v>562</v>
      </c>
      <c r="E29" s="40">
        <v>696.5</v>
      </c>
      <c r="F29" s="39" t="s">
        <v>93</v>
      </c>
      <c r="G29" s="46">
        <v>20</v>
      </c>
      <c r="H29" s="47">
        <v>30.7</v>
      </c>
      <c r="I29" s="47">
        <v>614.1</v>
      </c>
      <c r="J29" s="47">
        <v>0.66</v>
      </c>
      <c r="K29" s="47">
        <v>13.24</v>
      </c>
      <c r="L29" s="20"/>
      <c r="M29" s="54"/>
      <c r="N29" s="54"/>
      <c r="O29" s="54"/>
      <c r="P29" s="54"/>
      <c r="Q29" s="54"/>
      <c r="R29" s="54"/>
      <c r="S29" s="54"/>
      <c r="T29" s="54"/>
    </row>
    <row r="30" s="4" customFormat="1" ht="24.95" customHeight="1" spans="1:20">
      <c r="A30" s="20">
        <v>24</v>
      </c>
      <c r="B30" s="20"/>
      <c r="C30" s="39" t="s">
        <v>563</v>
      </c>
      <c r="D30" s="39" t="s">
        <v>558</v>
      </c>
      <c r="E30" s="40">
        <v>400</v>
      </c>
      <c r="F30" s="39" t="s">
        <v>93</v>
      </c>
      <c r="G30" s="46">
        <v>40</v>
      </c>
      <c r="H30" s="47">
        <v>3.6</v>
      </c>
      <c r="I30" s="47">
        <v>143.2</v>
      </c>
      <c r="J30" s="47">
        <v>0.09</v>
      </c>
      <c r="K30" s="47">
        <v>3.52</v>
      </c>
      <c r="L30" s="20"/>
      <c r="M30" s="54"/>
      <c r="N30" s="54"/>
      <c r="O30" s="54"/>
      <c r="P30" s="54"/>
      <c r="Q30" s="54"/>
      <c r="R30" s="54"/>
      <c r="S30" s="54"/>
      <c r="T30" s="54"/>
    </row>
    <row r="31" s="4" customFormat="1" ht="24.95" customHeight="1" spans="1:20">
      <c r="A31" s="20">
        <v>25</v>
      </c>
      <c r="B31" s="20"/>
      <c r="C31" s="39" t="s">
        <v>564</v>
      </c>
      <c r="D31" s="39" t="s">
        <v>565</v>
      </c>
      <c r="E31" s="40">
        <v>452</v>
      </c>
      <c r="F31" s="39" t="s">
        <v>93</v>
      </c>
      <c r="G31" s="46">
        <v>56</v>
      </c>
      <c r="H31" s="47">
        <v>21</v>
      </c>
      <c r="I31" s="47">
        <v>1174.3</v>
      </c>
      <c r="J31" s="47">
        <v>0.4</v>
      </c>
      <c r="K31" s="47">
        <v>22.23</v>
      </c>
      <c r="L31" s="20"/>
      <c r="M31" s="54"/>
      <c r="N31" s="54"/>
      <c r="O31" s="54"/>
      <c r="P31" s="54"/>
      <c r="Q31" s="54"/>
      <c r="R31" s="54"/>
      <c r="S31" s="54"/>
      <c r="T31" s="54"/>
    </row>
    <row r="32" s="4" customFormat="1" ht="24.95" customHeight="1" spans="1:20">
      <c r="A32" s="20">
        <v>26</v>
      </c>
      <c r="B32" s="20"/>
      <c r="C32" s="39" t="s">
        <v>566</v>
      </c>
      <c r="D32" s="39" t="s">
        <v>567</v>
      </c>
      <c r="E32" s="40">
        <v>477</v>
      </c>
      <c r="F32" s="39" t="s">
        <v>93</v>
      </c>
      <c r="G32" s="46">
        <v>40</v>
      </c>
      <c r="H32" s="47">
        <v>27</v>
      </c>
      <c r="I32" s="47">
        <v>1081.1</v>
      </c>
      <c r="J32" s="47">
        <v>0.49</v>
      </c>
      <c r="K32" s="47">
        <v>19.76</v>
      </c>
      <c r="L32" s="20"/>
      <c r="M32" s="54"/>
      <c r="N32" s="54"/>
      <c r="O32" s="54"/>
      <c r="P32" s="54"/>
      <c r="Q32" s="54"/>
      <c r="R32" s="54"/>
      <c r="S32" s="54"/>
      <c r="T32" s="54"/>
    </row>
    <row r="33" s="4" customFormat="1" ht="24.95" customHeight="1" spans="1:20">
      <c r="A33" s="20">
        <v>27</v>
      </c>
      <c r="B33" s="20"/>
      <c r="C33" s="39" t="s">
        <v>568</v>
      </c>
      <c r="D33" s="39" t="s">
        <v>569</v>
      </c>
      <c r="E33" s="40">
        <v>350</v>
      </c>
      <c r="F33" s="39" t="s">
        <v>93</v>
      </c>
      <c r="G33" s="46">
        <v>100</v>
      </c>
      <c r="H33" s="47">
        <v>4</v>
      </c>
      <c r="I33" s="47">
        <v>395.6</v>
      </c>
      <c r="J33" s="47">
        <v>0.09</v>
      </c>
      <c r="K33" s="47">
        <v>8.82</v>
      </c>
      <c r="L33" s="20"/>
      <c r="M33" s="54"/>
      <c r="N33" s="54"/>
      <c r="O33" s="54"/>
      <c r="P33" s="54"/>
      <c r="Q33" s="54"/>
      <c r="R33" s="54"/>
      <c r="S33" s="54"/>
      <c r="T33" s="54"/>
    </row>
    <row r="34" s="4" customFormat="1" ht="24.95" customHeight="1" spans="1:20">
      <c r="A34" s="20">
        <v>28</v>
      </c>
      <c r="B34" s="20"/>
      <c r="C34" s="39" t="s">
        <v>570</v>
      </c>
      <c r="D34" s="39" t="s">
        <v>571</v>
      </c>
      <c r="E34" s="40">
        <v>230</v>
      </c>
      <c r="F34" s="39" t="s">
        <v>93</v>
      </c>
      <c r="G34" s="46">
        <v>82</v>
      </c>
      <c r="H34" s="47">
        <v>2.3</v>
      </c>
      <c r="I34" s="47">
        <v>186.5</v>
      </c>
      <c r="J34" s="47">
        <v>0.06</v>
      </c>
      <c r="K34" s="47">
        <v>4.62</v>
      </c>
      <c r="L34" s="20"/>
      <c r="M34" s="54"/>
      <c r="N34" s="54"/>
      <c r="O34" s="54"/>
      <c r="P34" s="54"/>
      <c r="Q34" s="54"/>
      <c r="R34" s="54"/>
      <c r="S34" s="54"/>
      <c r="T34" s="54"/>
    </row>
    <row r="35" s="4" customFormat="1" ht="24.95" customHeight="1" spans="1:20">
      <c r="A35" s="20">
        <v>29</v>
      </c>
      <c r="B35" s="20"/>
      <c r="C35" s="39" t="s">
        <v>572</v>
      </c>
      <c r="D35" s="39" t="s">
        <v>573</v>
      </c>
      <c r="E35" s="40">
        <v>150</v>
      </c>
      <c r="F35" s="39" t="s">
        <v>93</v>
      </c>
      <c r="G35" s="46">
        <v>22</v>
      </c>
      <c r="H35" s="47">
        <v>0.5</v>
      </c>
      <c r="I35" s="47">
        <v>10.9</v>
      </c>
      <c r="J35" s="47">
        <v>0.01</v>
      </c>
      <c r="K35" s="47">
        <v>0.3</v>
      </c>
      <c r="L35" s="20"/>
      <c r="M35" s="54"/>
      <c r="N35" s="54"/>
      <c r="O35" s="54"/>
      <c r="P35" s="54"/>
      <c r="Q35" s="54"/>
      <c r="R35" s="54"/>
      <c r="S35" s="54"/>
      <c r="T35" s="54"/>
    </row>
    <row r="36" s="4" customFormat="1" ht="24.95" customHeight="1" spans="1:20">
      <c r="A36" s="20">
        <v>30</v>
      </c>
      <c r="B36" s="20"/>
      <c r="C36" s="39" t="s">
        <v>574</v>
      </c>
      <c r="D36" s="39" t="s">
        <v>575</v>
      </c>
      <c r="E36" s="40">
        <v>452</v>
      </c>
      <c r="F36" s="39" t="s">
        <v>93</v>
      </c>
      <c r="G36" s="46">
        <v>95</v>
      </c>
      <c r="H36" s="47">
        <v>9.6</v>
      </c>
      <c r="I36" s="47">
        <v>908.1</v>
      </c>
      <c r="J36" s="47">
        <v>0.22</v>
      </c>
      <c r="K36" s="47">
        <v>20.72</v>
      </c>
      <c r="L36" s="20"/>
      <c r="M36" s="54"/>
      <c r="N36" s="54"/>
      <c r="O36" s="54"/>
      <c r="P36" s="54"/>
      <c r="Q36" s="54"/>
      <c r="R36" s="54"/>
      <c r="S36" s="54"/>
      <c r="T36" s="54"/>
    </row>
    <row r="37" s="4" customFormat="1" ht="24.95" customHeight="1" spans="1:20">
      <c r="A37" s="20">
        <v>31</v>
      </c>
      <c r="B37" s="20"/>
      <c r="C37" s="39" t="s">
        <v>576</v>
      </c>
      <c r="D37" s="39" t="s">
        <v>573</v>
      </c>
      <c r="E37" s="40">
        <v>150</v>
      </c>
      <c r="F37" s="39" t="s">
        <v>93</v>
      </c>
      <c r="G37" s="46">
        <v>22</v>
      </c>
      <c r="H37" s="47">
        <v>0.5</v>
      </c>
      <c r="I37" s="47">
        <v>10.9</v>
      </c>
      <c r="J37" s="47">
        <v>0.01</v>
      </c>
      <c r="K37" s="47">
        <v>0.3</v>
      </c>
      <c r="L37" s="20"/>
      <c r="M37" s="54"/>
      <c r="N37" s="54"/>
      <c r="O37" s="54"/>
      <c r="P37" s="54"/>
      <c r="Q37" s="54"/>
      <c r="R37" s="54"/>
      <c r="S37" s="54"/>
      <c r="T37" s="54"/>
    </row>
    <row r="38" s="4" customFormat="1" ht="24.95" customHeight="1" spans="1:20">
      <c r="A38" s="20">
        <v>32</v>
      </c>
      <c r="B38" s="20"/>
      <c r="C38" s="39" t="s">
        <v>577</v>
      </c>
      <c r="D38" s="39" t="s">
        <v>578</v>
      </c>
      <c r="E38" s="40">
        <v>387</v>
      </c>
      <c r="F38" s="39" t="s">
        <v>93</v>
      </c>
      <c r="G38" s="46">
        <v>48</v>
      </c>
      <c r="H38" s="47">
        <v>8.6</v>
      </c>
      <c r="I38" s="47">
        <v>411.2</v>
      </c>
      <c r="J38" s="47">
        <v>0.18</v>
      </c>
      <c r="K38" s="47">
        <v>8.42</v>
      </c>
      <c r="L38" s="20"/>
      <c r="M38" s="54"/>
      <c r="N38" s="54"/>
      <c r="O38" s="54"/>
      <c r="P38" s="54"/>
      <c r="Q38" s="54"/>
      <c r="R38" s="54"/>
      <c r="S38" s="54"/>
      <c r="T38" s="54"/>
    </row>
    <row r="39" s="4" customFormat="1" ht="24.95" customHeight="1" spans="1:20">
      <c r="A39" s="20">
        <v>33</v>
      </c>
      <c r="B39" s="20"/>
      <c r="C39" s="39" t="s">
        <v>579</v>
      </c>
      <c r="D39" s="39" t="s">
        <v>580</v>
      </c>
      <c r="E39" s="40">
        <v>250</v>
      </c>
      <c r="F39" s="39" t="s">
        <v>93</v>
      </c>
      <c r="G39" s="46">
        <v>8</v>
      </c>
      <c r="H39" s="47">
        <v>2.6</v>
      </c>
      <c r="I39" s="47">
        <v>20.7</v>
      </c>
      <c r="J39" s="47">
        <v>0.06</v>
      </c>
      <c r="K39" s="47">
        <v>0.46</v>
      </c>
      <c r="L39" s="20"/>
      <c r="M39" s="54"/>
      <c r="N39" s="54"/>
      <c r="O39" s="54"/>
      <c r="P39" s="54"/>
      <c r="Q39" s="54"/>
      <c r="R39" s="54"/>
      <c r="S39" s="54"/>
      <c r="T39" s="54"/>
    </row>
    <row r="40" s="4" customFormat="1" ht="24.95" customHeight="1" spans="1:20">
      <c r="A40" s="20">
        <v>34</v>
      </c>
      <c r="B40" s="20"/>
      <c r="C40" s="39" t="s">
        <v>581</v>
      </c>
      <c r="D40" s="39" t="s">
        <v>558</v>
      </c>
      <c r="E40" s="40">
        <v>468</v>
      </c>
      <c r="F40" s="39" t="s">
        <v>93</v>
      </c>
      <c r="G40" s="46">
        <v>16</v>
      </c>
      <c r="H40" s="47">
        <v>4.2</v>
      </c>
      <c r="I40" s="47">
        <v>67</v>
      </c>
      <c r="J40" s="47">
        <v>0.1</v>
      </c>
      <c r="K40" s="47">
        <v>1.62</v>
      </c>
      <c r="L40" s="20"/>
      <c r="M40" s="54"/>
      <c r="N40" s="54"/>
      <c r="O40" s="54"/>
      <c r="P40" s="54"/>
      <c r="Q40" s="54"/>
      <c r="R40" s="54"/>
      <c r="S40" s="54"/>
      <c r="T40" s="54"/>
    </row>
    <row r="41" s="4" customFormat="1" ht="24.95" customHeight="1" spans="1:20">
      <c r="A41" s="20">
        <v>35</v>
      </c>
      <c r="B41" s="20"/>
      <c r="C41" s="39" t="s">
        <v>582</v>
      </c>
      <c r="D41" s="39" t="s">
        <v>583</v>
      </c>
      <c r="E41" s="40">
        <v>452</v>
      </c>
      <c r="F41" s="39" t="s">
        <v>93</v>
      </c>
      <c r="G41" s="46">
        <v>8</v>
      </c>
      <c r="H41" s="47">
        <v>21.3</v>
      </c>
      <c r="I41" s="47">
        <v>170.7</v>
      </c>
      <c r="J41" s="47">
        <v>0.49</v>
      </c>
      <c r="K41" s="47">
        <v>3.95</v>
      </c>
      <c r="L41" s="20"/>
      <c r="M41" s="54"/>
      <c r="N41" s="54"/>
      <c r="O41" s="54"/>
      <c r="P41" s="54"/>
      <c r="Q41" s="54"/>
      <c r="R41" s="54"/>
      <c r="S41" s="54"/>
      <c r="T41" s="54"/>
    </row>
    <row r="42" s="4" customFormat="1" ht="24.95" customHeight="1" spans="1:20">
      <c r="A42" s="20">
        <v>36</v>
      </c>
      <c r="B42" s="20"/>
      <c r="C42" s="39" t="s">
        <v>584</v>
      </c>
      <c r="D42" s="39" t="s">
        <v>585</v>
      </c>
      <c r="E42" s="40">
        <v>776.5</v>
      </c>
      <c r="F42" s="39" t="s">
        <v>93</v>
      </c>
      <c r="G42" s="46">
        <v>4</v>
      </c>
      <c r="H42" s="47">
        <v>17.1</v>
      </c>
      <c r="I42" s="47">
        <v>68.3</v>
      </c>
      <c r="J42" s="47">
        <v>0.43</v>
      </c>
      <c r="K42" s="47">
        <v>1.74</v>
      </c>
      <c r="L42" s="20"/>
      <c r="M42" s="54"/>
      <c r="N42" s="54"/>
      <c r="O42" s="54"/>
      <c r="P42" s="54"/>
      <c r="Q42" s="54"/>
      <c r="R42" s="54"/>
      <c r="S42" s="54"/>
      <c r="T42" s="54"/>
    </row>
    <row r="43" s="4" customFormat="1" ht="24.95" customHeight="1" spans="1:20">
      <c r="A43" s="20">
        <v>37</v>
      </c>
      <c r="B43" s="20"/>
      <c r="C43" s="39" t="s">
        <v>586</v>
      </c>
      <c r="D43" s="39" t="s">
        <v>587</v>
      </c>
      <c r="E43" s="40">
        <v>180</v>
      </c>
      <c r="F43" s="39" t="s">
        <v>93</v>
      </c>
      <c r="G43" s="46">
        <v>163</v>
      </c>
      <c r="H43" s="47">
        <v>3.8</v>
      </c>
      <c r="I43" s="47">
        <v>612.6</v>
      </c>
      <c r="J43" s="47">
        <v>0.1</v>
      </c>
      <c r="K43" s="47">
        <v>15.66</v>
      </c>
      <c r="L43" s="20"/>
      <c r="M43" s="54"/>
      <c r="N43" s="54"/>
      <c r="O43" s="54"/>
      <c r="P43" s="54"/>
      <c r="Q43" s="54"/>
      <c r="R43" s="54"/>
      <c r="S43" s="54"/>
      <c r="T43" s="54"/>
    </row>
    <row r="44" s="4" customFormat="1" ht="24.95" customHeight="1" spans="1:20">
      <c r="A44" s="20">
        <v>38</v>
      </c>
      <c r="B44" s="20"/>
      <c r="C44" s="39" t="s">
        <v>588</v>
      </c>
      <c r="D44" s="39" t="s">
        <v>589</v>
      </c>
      <c r="E44" s="40">
        <v>180</v>
      </c>
      <c r="F44" s="39" t="s">
        <v>93</v>
      </c>
      <c r="G44" s="46">
        <v>1</v>
      </c>
      <c r="H44" s="47">
        <v>3.8</v>
      </c>
      <c r="I44" s="47">
        <v>3.8</v>
      </c>
      <c r="J44" s="47">
        <v>0.1</v>
      </c>
      <c r="K44" s="47">
        <v>0.1</v>
      </c>
      <c r="L44" s="20"/>
      <c r="M44" s="54"/>
      <c r="N44" s="54"/>
      <c r="O44" s="54"/>
      <c r="P44" s="54"/>
      <c r="Q44" s="54"/>
      <c r="R44" s="54"/>
      <c r="S44" s="54"/>
      <c r="T44" s="54"/>
    </row>
    <row r="45" s="4" customFormat="1" ht="24.95" customHeight="1" spans="1:20">
      <c r="A45" s="20">
        <v>39</v>
      </c>
      <c r="B45" s="20"/>
      <c r="C45" s="39" t="s">
        <v>590</v>
      </c>
      <c r="D45" s="39" t="s">
        <v>591</v>
      </c>
      <c r="E45" s="40">
        <v>560</v>
      </c>
      <c r="F45" s="39" t="s">
        <v>93</v>
      </c>
      <c r="G45" s="46">
        <v>485</v>
      </c>
      <c r="H45" s="47">
        <v>11.6</v>
      </c>
      <c r="I45" s="47">
        <v>5628.6</v>
      </c>
      <c r="J45" s="47">
        <v>0.2</v>
      </c>
      <c r="K45" s="47">
        <v>96.48</v>
      </c>
      <c r="L45" s="20"/>
      <c r="M45" s="54"/>
      <c r="N45" s="54"/>
      <c r="O45" s="54"/>
      <c r="P45" s="54"/>
      <c r="Q45" s="54"/>
      <c r="R45" s="54"/>
      <c r="S45" s="54"/>
      <c r="T45" s="54"/>
    </row>
    <row r="46" s="4" customFormat="1" ht="24.95" customHeight="1" spans="1:20">
      <c r="A46" s="20">
        <v>40</v>
      </c>
      <c r="B46" s="20"/>
      <c r="C46" s="39" t="s">
        <v>592</v>
      </c>
      <c r="D46" s="39" t="s">
        <v>593</v>
      </c>
      <c r="E46" s="40">
        <v>610</v>
      </c>
      <c r="F46" s="39" t="s">
        <v>93</v>
      </c>
      <c r="G46" s="46">
        <v>295</v>
      </c>
      <c r="H46" s="47">
        <v>15</v>
      </c>
      <c r="I46" s="47">
        <v>4421.5</v>
      </c>
      <c r="J46" s="47">
        <v>0.27</v>
      </c>
      <c r="K46" s="47">
        <v>79.68</v>
      </c>
      <c r="L46" s="20"/>
      <c r="M46" s="54"/>
      <c r="N46" s="54"/>
      <c r="O46" s="54"/>
      <c r="P46" s="54"/>
      <c r="Q46" s="54"/>
      <c r="R46" s="54"/>
      <c r="S46" s="54"/>
      <c r="T46" s="54"/>
    </row>
    <row r="47" s="4" customFormat="1" ht="24.95" customHeight="1" spans="1:20">
      <c r="A47" s="20">
        <v>41</v>
      </c>
      <c r="B47" s="20"/>
      <c r="C47" s="39" t="s">
        <v>594</v>
      </c>
      <c r="D47" s="39" t="s">
        <v>595</v>
      </c>
      <c r="E47" s="40">
        <v>468</v>
      </c>
      <c r="F47" s="39" t="s">
        <v>93</v>
      </c>
      <c r="G47" s="46">
        <v>4</v>
      </c>
      <c r="H47" s="47">
        <v>9.7</v>
      </c>
      <c r="I47" s="47">
        <v>38.9</v>
      </c>
      <c r="J47" s="47">
        <v>0.18</v>
      </c>
      <c r="K47" s="47">
        <v>0.72</v>
      </c>
      <c r="L47" s="20"/>
      <c r="M47" s="54"/>
      <c r="N47" s="54"/>
      <c r="O47" s="54"/>
      <c r="P47" s="54"/>
      <c r="Q47" s="54"/>
      <c r="R47" s="54"/>
      <c r="S47" s="54"/>
      <c r="T47" s="54"/>
    </row>
    <row r="48" s="4" customFormat="1" ht="24.95" customHeight="1" spans="1:20">
      <c r="A48" s="20">
        <v>42</v>
      </c>
      <c r="B48" s="20"/>
      <c r="C48" s="39" t="s">
        <v>596</v>
      </c>
      <c r="D48" s="39" t="s">
        <v>593</v>
      </c>
      <c r="E48" s="40">
        <v>650</v>
      </c>
      <c r="F48" s="39" t="s">
        <v>93</v>
      </c>
      <c r="G48" s="46">
        <v>192</v>
      </c>
      <c r="H48" s="47">
        <v>16</v>
      </c>
      <c r="I48" s="47">
        <v>3066.4</v>
      </c>
      <c r="J48" s="47">
        <v>0.28</v>
      </c>
      <c r="K48" s="47">
        <v>54.21</v>
      </c>
      <c r="L48" s="20"/>
      <c r="M48" s="54"/>
      <c r="N48" s="54"/>
      <c r="O48" s="54"/>
      <c r="P48" s="54"/>
      <c r="Q48" s="54"/>
      <c r="R48" s="54"/>
      <c r="S48" s="54"/>
      <c r="T48" s="54"/>
    </row>
    <row r="49" s="4" customFormat="1" ht="24.95" customHeight="1" spans="1:20">
      <c r="A49" s="20">
        <v>43</v>
      </c>
      <c r="B49" s="20"/>
      <c r="C49" s="39" t="s">
        <v>597</v>
      </c>
      <c r="D49" s="39" t="s">
        <v>598</v>
      </c>
      <c r="E49" s="40">
        <v>398</v>
      </c>
      <c r="F49" s="39" t="s">
        <v>93</v>
      </c>
      <c r="G49" s="46">
        <v>48</v>
      </c>
      <c r="H49" s="47">
        <v>0.9</v>
      </c>
      <c r="I49" s="47">
        <v>45</v>
      </c>
      <c r="J49" s="47">
        <v>0.03</v>
      </c>
      <c r="K49" s="47">
        <v>1.31</v>
      </c>
      <c r="L49" s="20"/>
      <c r="M49" s="54"/>
      <c r="N49" s="54"/>
      <c r="O49" s="54"/>
      <c r="P49" s="54"/>
      <c r="Q49" s="54"/>
      <c r="R49" s="54"/>
      <c r="S49" s="54"/>
      <c r="T49" s="54"/>
    </row>
    <row r="50" s="4" customFormat="1" ht="24.95" customHeight="1" spans="1:20">
      <c r="A50" s="20">
        <v>44</v>
      </c>
      <c r="B50" s="20"/>
      <c r="C50" s="39" t="s">
        <v>599</v>
      </c>
      <c r="D50" s="39" t="s">
        <v>600</v>
      </c>
      <c r="E50" s="40">
        <v>610</v>
      </c>
      <c r="F50" s="39" t="s">
        <v>93</v>
      </c>
      <c r="G50" s="46">
        <v>97</v>
      </c>
      <c r="H50" s="47">
        <v>6.8</v>
      </c>
      <c r="I50" s="47">
        <v>664.2</v>
      </c>
      <c r="J50" s="47">
        <v>0.19</v>
      </c>
      <c r="K50" s="47">
        <v>18.28</v>
      </c>
      <c r="L50" s="20"/>
      <c r="M50" s="54"/>
      <c r="N50" s="54"/>
      <c r="O50" s="54"/>
      <c r="P50" s="54"/>
      <c r="Q50" s="54"/>
      <c r="R50" s="54"/>
      <c r="S50" s="54"/>
      <c r="T50" s="54"/>
    </row>
    <row r="51" s="4" customFormat="1" ht="24.95" customHeight="1" spans="1:20">
      <c r="A51" s="20">
        <v>45</v>
      </c>
      <c r="B51" s="20"/>
      <c r="C51" s="39" t="s">
        <v>601</v>
      </c>
      <c r="D51" s="39" t="s">
        <v>602</v>
      </c>
      <c r="E51" s="40">
        <v>222</v>
      </c>
      <c r="F51" s="39" t="s">
        <v>93</v>
      </c>
      <c r="G51" s="46">
        <v>196</v>
      </c>
      <c r="H51" s="47">
        <v>2.1</v>
      </c>
      <c r="I51" s="47">
        <v>409.9</v>
      </c>
      <c r="J51" s="47">
        <v>0.06</v>
      </c>
      <c r="K51" s="47">
        <v>11.58</v>
      </c>
      <c r="L51" s="20"/>
      <c r="M51" s="54"/>
      <c r="N51" s="54"/>
      <c r="O51" s="54"/>
      <c r="P51" s="54"/>
      <c r="Q51" s="54"/>
      <c r="R51" s="54"/>
      <c r="S51" s="54"/>
      <c r="T51" s="54"/>
    </row>
    <row r="52" s="4" customFormat="1" ht="24.95" customHeight="1" spans="1:20">
      <c r="A52" s="20">
        <v>46</v>
      </c>
      <c r="B52" s="20"/>
      <c r="C52" s="39" t="s">
        <v>603</v>
      </c>
      <c r="D52" s="39" t="s">
        <v>604</v>
      </c>
      <c r="E52" s="40">
        <v>176</v>
      </c>
      <c r="F52" s="39" t="s">
        <v>93</v>
      </c>
      <c r="G52" s="46">
        <v>28</v>
      </c>
      <c r="H52" s="47">
        <v>1.3</v>
      </c>
      <c r="I52" s="47">
        <v>37.1</v>
      </c>
      <c r="J52" s="47">
        <v>0.04</v>
      </c>
      <c r="K52" s="47">
        <v>1.07</v>
      </c>
      <c r="L52" s="20"/>
      <c r="M52" s="54"/>
      <c r="N52" s="54"/>
      <c r="O52" s="54"/>
      <c r="P52" s="54"/>
      <c r="Q52" s="54"/>
      <c r="R52" s="54"/>
      <c r="S52" s="54"/>
      <c r="T52" s="54"/>
    </row>
    <row r="53" s="4" customFormat="1" ht="24.95" customHeight="1" spans="1:20">
      <c r="A53" s="48">
        <v>47</v>
      </c>
      <c r="B53" s="48"/>
      <c r="C53" s="49" t="s">
        <v>605</v>
      </c>
      <c r="D53" s="49" t="s">
        <v>606</v>
      </c>
      <c r="E53" s="50">
        <v>150</v>
      </c>
      <c r="F53" s="49" t="s">
        <v>93</v>
      </c>
      <c r="G53" s="51">
        <v>64</v>
      </c>
      <c r="H53" s="52">
        <v>0.4</v>
      </c>
      <c r="I53" s="52">
        <v>25.6</v>
      </c>
      <c r="J53" s="52">
        <v>0.01</v>
      </c>
      <c r="K53" s="52">
        <v>0.64</v>
      </c>
      <c r="L53" s="48"/>
      <c r="M53" s="54"/>
      <c r="N53" s="54"/>
      <c r="O53" s="54"/>
      <c r="P53" s="54"/>
      <c r="Q53" s="54"/>
      <c r="R53" s="54"/>
      <c r="S53" s="54"/>
      <c r="T53" s="54"/>
    </row>
    <row r="54" s="4" customFormat="1" ht="24.95" customHeight="1" spans="1:20">
      <c r="A54" s="20">
        <v>48</v>
      </c>
      <c r="B54" s="20"/>
      <c r="C54" s="39" t="s">
        <v>607</v>
      </c>
      <c r="D54" s="39" t="s">
        <v>608</v>
      </c>
      <c r="E54" s="40">
        <v>560</v>
      </c>
      <c r="F54" s="39" t="s">
        <v>93</v>
      </c>
      <c r="G54" s="46">
        <v>31</v>
      </c>
      <c r="H54" s="47">
        <v>4.1</v>
      </c>
      <c r="I54" s="47">
        <v>128.1</v>
      </c>
      <c r="J54" s="47">
        <v>0.12</v>
      </c>
      <c r="K54" s="47">
        <v>3.64</v>
      </c>
      <c r="L54" s="20"/>
      <c r="M54" s="54"/>
      <c r="N54" s="54"/>
      <c r="O54" s="54"/>
      <c r="P54" s="54"/>
      <c r="Q54" s="54"/>
      <c r="R54" s="54"/>
      <c r="S54" s="54"/>
      <c r="T54" s="54"/>
    </row>
    <row r="55" s="4" customFormat="1" ht="24.95" customHeight="1" spans="1:20">
      <c r="A55" s="20">
        <v>49</v>
      </c>
      <c r="B55" s="20"/>
      <c r="C55" s="39" t="s">
        <v>609</v>
      </c>
      <c r="D55" s="39" t="s">
        <v>610</v>
      </c>
      <c r="E55" s="40">
        <v>468</v>
      </c>
      <c r="F55" s="39" t="s">
        <v>93</v>
      </c>
      <c r="G55" s="46">
        <v>4</v>
      </c>
      <c r="H55" s="47">
        <v>3.5</v>
      </c>
      <c r="I55" s="47">
        <v>14</v>
      </c>
      <c r="J55" s="47">
        <v>0.1</v>
      </c>
      <c r="K55" s="47">
        <v>0.4</v>
      </c>
      <c r="L55" s="20"/>
      <c r="M55" s="54"/>
      <c r="N55" s="54"/>
      <c r="O55" s="54"/>
      <c r="P55" s="54"/>
      <c r="Q55" s="54"/>
      <c r="R55" s="54"/>
      <c r="S55" s="54"/>
      <c r="T55" s="54"/>
    </row>
    <row r="56" s="4" customFormat="1" ht="24.95" customHeight="1" spans="1:20">
      <c r="A56" s="20">
        <v>50</v>
      </c>
      <c r="B56" s="20"/>
      <c r="C56" s="39" t="s">
        <v>611</v>
      </c>
      <c r="D56" s="39" t="s">
        <v>606</v>
      </c>
      <c r="E56" s="40">
        <v>150</v>
      </c>
      <c r="F56" s="39" t="s">
        <v>93</v>
      </c>
      <c r="G56" s="46">
        <v>66</v>
      </c>
      <c r="H56" s="47">
        <v>0.4</v>
      </c>
      <c r="I56" s="47">
        <v>27.2</v>
      </c>
      <c r="J56" s="47">
        <v>0.01</v>
      </c>
      <c r="K56" s="47">
        <v>0.85</v>
      </c>
      <c r="L56" s="20"/>
      <c r="M56" s="54"/>
      <c r="N56" s="54"/>
      <c r="O56" s="54"/>
      <c r="P56" s="54"/>
      <c r="Q56" s="54"/>
      <c r="R56" s="54"/>
      <c r="S56" s="54"/>
      <c r="T56" s="54"/>
    </row>
    <row r="57" s="4" customFormat="1" ht="24.95" customHeight="1" spans="1:20">
      <c r="A57" s="20">
        <v>51</v>
      </c>
      <c r="B57" s="20"/>
      <c r="C57" s="39" t="s">
        <v>612</v>
      </c>
      <c r="D57" s="39" t="s">
        <v>613</v>
      </c>
      <c r="E57" s="40">
        <v>94</v>
      </c>
      <c r="F57" s="39" t="s">
        <v>93</v>
      </c>
      <c r="G57" s="46">
        <v>2</v>
      </c>
      <c r="H57" s="47">
        <v>0.6</v>
      </c>
      <c r="I57" s="47">
        <v>1.2</v>
      </c>
      <c r="J57" s="47">
        <v>0.02</v>
      </c>
      <c r="K57" s="47">
        <v>0.03</v>
      </c>
      <c r="L57" s="20"/>
      <c r="M57" s="54"/>
      <c r="N57" s="54"/>
      <c r="O57" s="54"/>
      <c r="P57" s="54"/>
      <c r="Q57" s="54"/>
      <c r="R57" s="54"/>
      <c r="S57" s="54"/>
      <c r="T57" s="54"/>
    </row>
    <row r="58" s="4" customFormat="1" ht="24.95" customHeight="1" spans="1:20">
      <c r="A58" s="20">
        <v>52</v>
      </c>
      <c r="B58" s="20"/>
      <c r="C58" s="39" t="s">
        <v>614</v>
      </c>
      <c r="D58" s="39" t="s">
        <v>615</v>
      </c>
      <c r="E58" s="40">
        <v>452</v>
      </c>
      <c r="F58" s="39" t="s">
        <v>93</v>
      </c>
      <c r="G58" s="46">
        <v>24</v>
      </c>
      <c r="H58" s="47">
        <v>12.7</v>
      </c>
      <c r="I58" s="47">
        <v>305.9</v>
      </c>
      <c r="J58" s="47">
        <v>0.22</v>
      </c>
      <c r="K58" s="47">
        <v>5.39</v>
      </c>
      <c r="L58" s="20"/>
      <c r="M58" s="54"/>
      <c r="N58" s="54"/>
      <c r="O58" s="54"/>
      <c r="P58" s="54"/>
      <c r="Q58" s="54"/>
      <c r="R58" s="54"/>
      <c r="S58" s="54"/>
      <c r="T58" s="54"/>
    </row>
    <row r="59" s="4" customFormat="1" ht="24.95" customHeight="1" spans="1:20">
      <c r="A59" s="20">
        <v>53</v>
      </c>
      <c r="B59" s="20"/>
      <c r="C59" s="39" t="s">
        <v>616</v>
      </c>
      <c r="D59" s="39" t="s">
        <v>617</v>
      </c>
      <c r="E59" s="40">
        <v>580</v>
      </c>
      <c r="F59" s="39" t="s">
        <v>93</v>
      </c>
      <c r="G59" s="46">
        <v>64</v>
      </c>
      <c r="H59" s="47">
        <v>12</v>
      </c>
      <c r="I59" s="47">
        <v>769.3</v>
      </c>
      <c r="J59" s="47">
        <v>0.22</v>
      </c>
      <c r="K59" s="47">
        <v>13.78</v>
      </c>
      <c r="L59" s="20"/>
      <c r="M59" s="54"/>
      <c r="N59" s="54"/>
      <c r="O59" s="54"/>
      <c r="P59" s="54"/>
      <c r="Q59" s="54"/>
      <c r="R59" s="54"/>
      <c r="S59" s="54"/>
      <c r="T59" s="54"/>
    </row>
    <row r="60" s="4" customFormat="1" ht="24.95" customHeight="1" spans="1:20">
      <c r="A60" s="20">
        <v>54</v>
      </c>
      <c r="B60" s="20"/>
      <c r="C60" s="39" t="s">
        <v>618</v>
      </c>
      <c r="D60" s="39" t="s">
        <v>619</v>
      </c>
      <c r="E60" s="40">
        <v>660</v>
      </c>
      <c r="F60" s="39" t="s">
        <v>93</v>
      </c>
      <c r="G60" s="46">
        <v>48</v>
      </c>
      <c r="H60" s="47">
        <v>51.1</v>
      </c>
      <c r="I60" s="47">
        <v>2453.1</v>
      </c>
      <c r="J60" s="47">
        <v>0.8</v>
      </c>
      <c r="K60" s="47">
        <v>38.26</v>
      </c>
      <c r="L60" s="20"/>
      <c r="M60" s="54"/>
      <c r="N60" s="54"/>
      <c r="O60" s="54"/>
      <c r="P60" s="54"/>
      <c r="Q60" s="54"/>
      <c r="R60" s="54"/>
      <c r="S60" s="54"/>
      <c r="T60" s="54"/>
    </row>
    <row r="61" s="4" customFormat="1" ht="24.95" customHeight="1" spans="1:20">
      <c r="A61" s="20">
        <v>55</v>
      </c>
      <c r="B61" s="20"/>
      <c r="C61" s="39" t="s">
        <v>620</v>
      </c>
      <c r="D61" s="39" t="s">
        <v>621</v>
      </c>
      <c r="E61" s="40">
        <v>660</v>
      </c>
      <c r="F61" s="39" t="s">
        <v>93</v>
      </c>
      <c r="G61" s="46">
        <v>48</v>
      </c>
      <c r="H61" s="47">
        <v>50.6</v>
      </c>
      <c r="I61" s="47">
        <v>2429.2</v>
      </c>
      <c r="J61" s="47">
        <v>0.79</v>
      </c>
      <c r="K61" s="47">
        <v>37.87</v>
      </c>
      <c r="L61" s="20"/>
      <c r="M61" s="54"/>
      <c r="N61" s="54"/>
      <c r="O61" s="54"/>
      <c r="P61" s="54"/>
      <c r="Q61" s="54"/>
      <c r="R61" s="54"/>
      <c r="S61" s="54"/>
      <c r="T61" s="54"/>
    </row>
    <row r="62" s="4" customFormat="1" ht="24.95" customHeight="1" spans="1:20">
      <c r="A62" s="20">
        <v>56</v>
      </c>
      <c r="B62" s="20"/>
      <c r="C62" s="39" t="s">
        <v>622</v>
      </c>
      <c r="D62" s="39" t="s">
        <v>619</v>
      </c>
      <c r="E62" s="40">
        <v>610</v>
      </c>
      <c r="F62" s="39" t="s">
        <v>93</v>
      </c>
      <c r="G62" s="46">
        <v>20</v>
      </c>
      <c r="H62" s="47">
        <v>47.2</v>
      </c>
      <c r="I62" s="47">
        <v>944.7</v>
      </c>
      <c r="J62" s="47">
        <v>0.76</v>
      </c>
      <c r="K62" s="47">
        <v>15.26</v>
      </c>
      <c r="L62" s="20"/>
      <c r="M62" s="54"/>
      <c r="N62" s="54"/>
      <c r="O62" s="54"/>
      <c r="P62" s="54"/>
      <c r="Q62" s="54"/>
      <c r="R62" s="54"/>
      <c r="S62" s="54"/>
      <c r="T62" s="54"/>
    </row>
    <row r="63" s="4" customFormat="1" ht="24.95" customHeight="1" spans="1:20">
      <c r="A63" s="20">
        <v>57</v>
      </c>
      <c r="B63" s="20"/>
      <c r="C63" s="39" t="s">
        <v>623</v>
      </c>
      <c r="D63" s="39" t="s">
        <v>617</v>
      </c>
      <c r="E63" s="40">
        <v>540</v>
      </c>
      <c r="F63" s="39" t="s">
        <v>93</v>
      </c>
      <c r="G63" s="46">
        <v>34</v>
      </c>
      <c r="H63" s="47">
        <v>11.2</v>
      </c>
      <c r="I63" s="47">
        <v>380.5</v>
      </c>
      <c r="J63" s="47">
        <v>0.2</v>
      </c>
      <c r="K63" s="47">
        <v>6.83</v>
      </c>
      <c r="L63" s="20"/>
      <c r="M63" s="54"/>
      <c r="N63" s="54"/>
      <c r="O63" s="54"/>
      <c r="P63" s="54"/>
      <c r="Q63" s="54"/>
      <c r="R63" s="54"/>
      <c r="S63" s="54"/>
      <c r="T63" s="54"/>
    </row>
    <row r="64" s="4" customFormat="1" ht="24.95" customHeight="1" spans="1:20">
      <c r="A64" s="20">
        <v>58</v>
      </c>
      <c r="B64" s="20"/>
      <c r="C64" s="39" t="s">
        <v>624</v>
      </c>
      <c r="D64" s="39" t="s">
        <v>625</v>
      </c>
      <c r="E64" s="40">
        <v>610</v>
      </c>
      <c r="F64" s="39" t="s">
        <v>93</v>
      </c>
      <c r="G64" s="46">
        <v>64</v>
      </c>
      <c r="H64" s="47">
        <v>11</v>
      </c>
      <c r="I64" s="47">
        <v>701.2</v>
      </c>
      <c r="J64" s="47">
        <v>0.2</v>
      </c>
      <c r="K64" s="47">
        <v>12.63</v>
      </c>
      <c r="L64" s="20"/>
      <c r="M64" s="54"/>
      <c r="N64" s="54"/>
      <c r="O64" s="54"/>
      <c r="P64" s="54"/>
      <c r="Q64" s="54"/>
      <c r="R64" s="54"/>
      <c r="S64" s="54"/>
      <c r="T64" s="54"/>
    </row>
    <row r="65" s="4" customFormat="1" ht="24.95" customHeight="1" spans="1:20">
      <c r="A65" s="20">
        <v>59</v>
      </c>
      <c r="B65" s="20"/>
      <c r="C65" s="39" t="s">
        <v>626</v>
      </c>
      <c r="D65" s="39" t="s">
        <v>625</v>
      </c>
      <c r="E65" s="40">
        <v>650</v>
      </c>
      <c r="F65" s="39" t="s">
        <v>93</v>
      </c>
      <c r="G65" s="46">
        <v>32</v>
      </c>
      <c r="H65" s="47">
        <v>11.7</v>
      </c>
      <c r="I65" s="47">
        <v>373.6</v>
      </c>
      <c r="J65" s="47">
        <v>0.21</v>
      </c>
      <c r="K65" s="47">
        <v>6.72</v>
      </c>
      <c r="L65" s="20"/>
      <c r="M65" s="54"/>
      <c r="N65" s="54"/>
      <c r="O65" s="54"/>
      <c r="P65" s="54"/>
      <c r="Q65" s="54"/>
      <c r="R65" s="54"/>
      <c r="S65" s="54"/>
      <c r="T65" s="54"/>
    </row>
    <row r="66" s="4" customFormat="1" ht="24.95" customHeight="1" spans="1:20">
      <c r="A66" s="20">
        <v>60</v>
      </c>
      <c r="B66" s="20"/>
      <c r="C66" s="39" t="s">
        <v>627</v>
      </c>
      <c r="D66" s="39" t="s">
        <v>625</v>
      </c>
      <c r="E66" s="40">
        <v>610</v>
      </c>
      <c r="F66" s="39" t="s">
        <v>93</v>
      </c>
      <c r="G66" s="46">
        <v>5</v>
      </c>
      <c r="H66" s="47">
        <v>11</v>
      </c>
      <c r="I66" s="47">
        <v>54.8</v>
      </c>
      <c r="J66" s="47">
        <v>0.2</v>
      </c>
      <c r="K66" s="47">
        <v>0.99</v>
      </c>
      <c r="L66" s="20"/>
      <c r="M66" s="54"/>
      <c r="N66" s="54"/>
      <c r="O66" s="54"/>
      <c r="P66" s="54"/>
      <c r="Q66" s="54"/>
      <c r="R66" s="54"/>
      <c r="S66" s="54"/>
      <c r="T66" s="54"/>
    </row>
    <row r="67" s="4" customFormat="1" ht="24.95" customHeight="1" spans="1:20">
      <c r="A67" s="20">
        <v>61</v>
      </c>
      <c r="B67" s="20"/>
      <c r="C67" s="39" t="s">
        <v>628</v>
      </c>
      <c r="D67" s="39" t="s">
        <v>629</v>
      </c>
      <c r="E67" s="40">
        <v>477</v>
      </c>
      <c r="F67" s="39" t="s">
        <v>93</v>
      </c>
      <c r="G67" s="46">
        <v>40</v>
      </c>
      <c r="H67" s="47">
        <v>36</v>
      </c>
      <c r="I67" s="47">
        <v>1441.5</v>
      </c>
      <c r="J67" s="47">
        <v>0.5</v>
      </c>
      <c r="K67" s="47">
        <v>20.08</v>
      </c>
      <c r="L67" s="20"/>
      <c r="M67" s="54"/>
      <c r="N67" s="54"/>
      <c r="O67" s="54"/>
      <c r="P67" s="54"/>
      <c r="Q67" s="54"/>
      <c r="R67" s="54"/>
      <c r="S67" s="54"/>
      <c r="T67" s="54"/>
    </row>
    <row r="68" s="4" customFormat="1" ht="24.95" customHeight="1" spans="1:20">
      <c r="A68" s="20">
        <v>62</v>
      </c>
      <c r="B68" s="20"/>
      <c r="C68" s="39" t="s">
        <v>630</v>
      </c>
      <c r="D68" s="39" t="s">
        <v>631</v>
      </c>
      <c r="E68" s="40">
        <v>230</v>
      </c>
      <c r="F68" s="39" t="s">
        <v>93</v>
      </c>
      <c r="G68" s="46">
        <v>68</v>
      </c>
      <c r="H68" s="47">
        <v>3.9</v>
      </c>
      <c r="I68" s="47">
        <v>265.2</v>
      </c>
      <c r="J68" s="47">
        <v>0.07</v>
      </c>
      <c r="K68" s="47">
        <v>5.02</v>
      </c>
      <c r="L68" s="20"/>
      <c r="M68" s="54"/>
      <c r="N68" s="54"/>
      <c r="O68" s="54"/>
      <c r="P68" s="54"/>
      <c r="Q68" s="54"/>
      <c r="R68" s="54"/>
      <c r="S68" s="54"/>
      <c r="T68" s="54"/>
    </row>
    <row r="69" s="4" customFormat="1" ht="24.95" customHeight="1" spans="1:20">
      <c r="A69" s="20">
        <v>63</v>
      </c>
      <c r="B69" s="20"/>
      <c r="C69" s="39" t="s">
        <v>632</v>
      </c>
      <c r="D69" s="39" t="s">
        <v>631</v>
      </c>
      <c r="E69" s="40">
        <v>230</v>
      </c>
      <c r="F69" s="39" t="s">
        <v>93</v>
      </c>
      <c r="G69" s="46">
        <v>68</v>
      </c>
      <c r="H69" s="47">
        <v>3.9</v>
      </c>
      <c r="I69" s="47">
        <v>265.2</v>
      </c>
      <c r="J69" s="47">
        <v>0.07</v>
      </c>
      <c r="K69" s="47">
        <v>5.02</v>
      </c>
      <c r="L69" s="20"/>
      <c r="M69" s="54"/>
      <c r="N69" s="54"/>
      <c r="O69" s="54"/>
      <c r="P69" s="54"/>
      <c r="Q69" s="54"/>
      <c r="R69" s="54"/>
      <c r="S69" s="54"/>
      <c r="T69" s="54"/>
    </row>
    <row r="70" s="4" customFormat="1" ht="24.95" customHeight="1" spans="1:20">
      <c r="A70" s="20">
        <v>64</v>
      </c>
      <c r="B70" s="20"/>
      <c r="C70" s="39" t="s">
        <v>633</v>
      </c>
      <c r="D70" s="39" t="s">
        <v>634</v>
      </c>
      <c r="E70" s="40">
        <v>350</v>
      </c>
      <c r="F70" s="39" t="s">
        <v>93</v>
      </c>
      <c r="G70" s="46">
        <v>4</v>
      </c>
      <c r="H70" s="47">
        <v>5.3</v>
      </c>
      <c r="I70" s="47">
        <v>21.1</v>
      </c>
      <c r="J70" s="47">
        <v>0.09</v>
      </c>
      <c r="K70" s="47">
        <v>0.37</v>
      </c>
      <c r="L70" s="20"/>
      <c r="M70" s="54"/>
      <c r="N70" s="54"/>
      <c r="O70" s="54"/>
      <c r="P70" s="54"/>
      <c r="Q70" s="54"/>
      <c r="R70" s="54"/>
      <c r="S70" s="54"/>
      <c r="T70" s="54"/>
    </row>
    <row r="71" s="4" customFormat="1" ht="24.95" customHeight="1" spans="1:20">
      <c r="A71" s="20">
        <v>65</v>
      </c>
      <c r="B71" s="20"/>
      <c r="C71" s="39" t="s">
        <v>635</v>
      </c>
      <c r="D71" s="39" t="s">
        <v>436</v>
      </c>
      <c r="E71" s="40">
        <v>135</v>
      </c>
      <c r="F71" s="39" t="s">
        <v>93</v>
      </c>
      <c r="G71" s="46">
        <v>248</v>
      </c>
      <c r="H71" s="47">
        <v>1.5</v>
      </c>
      <c r="I71" s="47">
        <v>378.5</v>
      </c>
      <c r="J71" s="47">
        <v>0.03</v>
      </c>
      <c r="K71" s="47">
        <v>7.39</v>
      </c>
      <c r="L71" s="20"/>
      <c r="M71" s="54"/>
      <c r="N71" s="54"/>
      <c r="O71" s="54"/>
      <c r="P71" s="54"/>
      <c r="Q71" s="54"/>
      <c r="R71" s="54"/>
      <c r="S71" s="54"/>
      <c r="T71" s="54"/>
    </row>
    <row r="72" s="4" customFormat="1" ht="24.95" customHeight="1" spans="1:20">
      <c r="A72" s="20">
        <v>66</v>
      </c>
      <c r="B72" s="20"/>
      <c r="C72" s="39" t="s">
        <v>636</v>
      </c>
      <c r="D72" s="39" t="s">
        <v>615</v>
      </c>
      <c r="E72" s="40">
        <v>452</v>
      </c>
      <c r="F72" s="39" t="s">
        <v>93</v>
      </c>
      <c r="G72" s="46">
        <v>80</v>
      </c>
      <c r="H72" s="47">
        <v>12.7</v>
      </c>
      <c r="I72" s="47">
        <v>1019.6</v>
      </c>
      <c r="J72" s="47">
        <v>0.22</v>
      </c>
      <c r="K72" s="47">
        <v>17.87</v>
      </c>
      <c r="L72" s="20"/>
      <c r="M72" s="54"/>
      <c r="N72" s="54"/>
      <c r="O72" s="54"/>
      <c r="P72" s="54"/>
      <c r="Q72" s="54"/>
      <c r="R72" s="54"/>
      <c r="S72" s="54"/>
      <c r="T72" s="54"/>
    </row>
    <row r="73" s="4" customFormat="1" ht="24.95" customHeight="1" spans="1:20">
      <c r="A73" s="20">
        <v>67</v>
      </c>
      <c r="B73" s="20"/>
      <c r="C73" s="39" t="s">
        <v>637</v>
      </c>
      <c r="D73" s="39" t="s">
        <v>638</v>
      </c>
      <c r="E73" s="40">
        <v>150</v>
      </c>
      <c r="F73" s="39" t="s">
        <v>93</v>
      </c>
      <c r="G73" s="46">
        <v>20</v>
      </c>
      <c r="H73" s="47">
        <v>0.7</v>
      </c>
      <c r="I73" s="47">
        <v>13.2</v>
      </c>
      <c r="J73" s="47">
        <v>0.01</v>
      </c>
      <c r="K73" s="47">
        <v>0.3</v>
      </c>
      <c r="L73" s="20"/>
      <c r="M73" s="54"/>
      <c r="N73" s="54"/>
      <c r="O73" s="54"/>
      <c r="P73" s="54"/>
      <c r="Q73" s="54"/>
      <c r="R73" s="54"/>
      <c r="S73" s="54"/>
      <c r="T73" s="54"/>
    </row>
    <row r="74" s="4" customFormat="1" ht="24.95" customHeight="1" spans="1:20">
      <c r="A74" s="20">
        <v>68</v>
      </c>
      <c r="B74" s="20"/>
      <c r="C74" s="39" t="s">
        <v>639</v>
      </c>
      <c r="D74" s="39" t="s">
        <v>638</v>
      </c>
      <c r="E74" s="40">
        <v>150</v>
      </c>
      <c r="F74" s="39" t="s">
        <v>93</v>
      </c>
      <c r="G74" s="46">
        <v>20</v>
      </c>
      <c r="H74" s="47">
        <v>0.7</v>
      </c>
      <c r="I74" s="47">
        <v>13.2</v>
      </c>
      <c r="J74" s="47">
        <v>0.01</v>
      </c>
      <c r="K74" s="47">
        <v>0.3</v>
      </c>
      <c r="L74" s="20"/>
      <c r="M74" s="54"/>
      <c r="N74" s="54"/>
      <c r="O74" s="54"/>
      <c r="P74" s="54"/>
      <c r="Q74" s="54"/>
      <c r="R74" s="54"/>
      <c r="S74" s="54"/>
      <c r="T74" s="54"/>
    </row>
    <row r="75" s="4" customFormat="1" ht="24.95" customHeight="1" spans="1:20">
      <c r="A75" s="20">
        <v>69</v>
      </c>
      <c r="B75" s="20"/>
      <c r="C75" s="39" t="s">
        <v>640</v>
      </c>
      <c r="D75" s="39" t="s">
        <v>625</v>
      </c>
      <c r="E75" s="40">
        <v>610</v>
      </c>
      <c r="F75" s="39" t="s">
        <v>93</v>
      </c>
      <c r="G75" s="46">
        <v>36</v>
      </c>
      <c r="H75" s="47">
        <v>11</v>
      </c>
      <c r="I75" s="47">
        <v>394.4</v>
      </c>
      <c r="J75" s="47">
        <v>0.2</v>
      </c>
      <c r="K75" s="47">
        <v>7.11</v>
      </c>
      <c r="L75" s="20"/>
      <c r="M75" s="54"/>
      <c r="N75" s="54"/>
      <c r="O75" s="54"/>
      <c r="P75" s="54"/>
      <c r="Q75" s="54"/>
      <c r="R75" s="54"/>
      <c r="S75" s="54"/>
      <c r="T75" s="54"/>
    </row>
    <row r="76" s="4" customFormat="1" ht="24.95" customHeight="1" spans="1:20">
      <c r="A76" s="20">
        <v>70</v>
      </c>
      <c r="B76" s="20"/>
      <c r="C76" s="39" t="s">
        <v>641</v>
      </c>
      <c r="D76" s="39" t="s">
        <v>631</v>
      </c>
      <c r="E76" s="40">
        <v>387</v>
      </c>
      <c r="F76" s="39" t="s">
        <v>93</v>
      </c>
      <c r="G76" s="46">
        <v>32</v>
      </c>
      <c r="H76" s="47">
        <v>6.6</v>
      </c>
      <c r="I76" s="47">
        <v>210</v>
      </c>
      <c r="J76" s="47">
        <v>0.12</v>
      </c>
      <c r="K76" s="47">
        <v>3.81</v>
      </c>
      <c r="L76" s="20"/>
      <c r="M76" s="54"/>
      <c r="N76" s="54"/>
      <c r="O76" s="54"/>
      <c r="P76" s="54"/>
      <c r="Q76" s="54"/>
      <c r="R76" s="54"/>
      <c r="S76" s="54"/>
      <c r="T76" s="54"/>
    </row>
    <row r="77" s="4" customFormat="1" ht="24.95" customHeight="1" spans="1:20">
      <c r="A77" s="20">
        <v>71</v>
      </c>
      <c r="B77" s="20"/>
      <c r="C77" s="39" t="s">
        <v>642</v>
      </c>
      <c r="D77" s="39" t="s">
        <v>643</v>
      </c>
      <c r="E77" s="40">
        <v>855</v>
      </c>
      <c r="F77" s="39" t="s">
        <v>93</v>
      </c>
      <c r="G77" s="46">
        <v>48</v>
      </c>
      <c r="H77" s="47">
        <v>17.4</v>
      </c>
      <c r="I77" s="47">
        <v>835</v>
      </c>
      <c r="J77" s="47">
        <v>0.75</v>
      </c>
      <c r="K77" s="47">
        <v>36.2</v>
      </c>
      <c r="L77" s="20"/>
      <c r="M77" s="54"/>
      <c r="N77" s="54"/>
      <c r="O77" s="54"/>
      <c r="P77" s="54"/>
      <c r="Q77" s="54"/>
      <c r="R77" s="54"/>
      <c r="S77" s="54"/>
      <c r="T77" s="54"/>
    </row>
    <row r="78" s="4" customFormat="1" ht="24.95" customHeight="1" spans="1:20">
      <c r="A78" s="20">
        <v>72</v>
      </c>
      <c r="B78" s="20"/>
      <c r="C78" s="39" t="s">
        <v>644</v>
      </c>
      <c r="D78" s="39" t="s">
        <v>645</v>
      </c>
      <c r="E78" s="40">
        <v>580</v>
      </c>
      <c r="F78" s="39" t="s">
        <v>93</v>
      </c>
      <c r="G78" s="46">
        <v>427</v>
      </c>
      <c r="H78" s="47">
        <v>1.6</v>
      </c>
      <c r="I78" s="47">
        <v>699.9</v>
      </c>
      <c r="J78" s="47">
        <v>0.08</v>
      </c>
      <c r="K78" s="47">
        <v>33</v>
      </c>
      <c r="L78" s="20"/>
      <c r="M78" s="54"/>
      <c r="N78" s="54"/>
      <c r="O78" s="54"/>
      <c r="P78" s="54"/>
      <c r="Q78" s="54"/>
      <c r="R78" s="54"/>
      <c r="S78" s="54"/>
      <c r="T78" s="54"/>
    </row>
    <row r="79" s="4" customFormat="1" ht="24.95" customHeight="1" spans="1:20">
      <c r="A79" s="20">
        <v>73</v>
      </c>
      <c r="B79" s="20"/>
      <c r="C79" s="39" t="s">
        <v>646</v>
      </c>
      <c r="D79" s="39" t="s">
        <v>647</v>
      </c>
      <c r="E79" s="40">
        <v>182</v>
      </c>
      <c r="F79" s="39" t="s">
        <v>93</v>
      </c>
      <c r="G79" s="46">
        <v>136</v>
      </c>
      <c r="H79" s="47">
        <v>2.5</v>
      </c>
      <c r="I79" s="47">
        <v>334.6</v>
      </c>
      <c r="J79" s="47">
        <v>0.09</v>
      </c>
      <c r="K79" s="47">
        <v>12.52</v>
      </c>
      <c r="L79" s="20"/>
      <c r="M79" s="54"/>
      <c r="N79" s="54"/>
      <c r="O79" s="54"/>
      <c r="P79" s="54"/>
      <c r="Q79" s="54"/>
      <c r="R79" s="54"/>
      <c r="S79" s="54"/>
      <c r="T79" s="54"/>
    </row>
    <row r="80" s="4" customFormat="1" ht="24.95" customHeight="1" spans="1:20">
      <c r="A80" s="20">
        <v>74</v>
      </c>
      <c r="B80" s="20"/>
      <c r="C80" s="39" t="s">
        <v>648</v>
      </c>
      <c r="D80" s="39" t="s">
        <v>649</v>
      </c>
      <c r="E80" s="40">
        <v>218</v>
      </c>
      <c r="F80" s="39" t="s">
        <v>93</v>
      </c>
      <c r="G80" s="46">
        <v>136</v>
      </c>
      <c r="H80" s="47">
        <v>3.1</v>
      </c>
      <c r="I80" s="47">
        <v>418.9</v>
      </c>
      <c r="J80" s="47">
        <v>0.11</v>
      </c>
      <c r="K80" s="47">
        <v>14.53</v>
      </c>
      <c r="L80" s="20"/>
      <c r="M80" s="54"/>
      <c r="N80" s="54"/>
      <c r="O80" s="54"/>
      <c r="P80" s="54"/>
      <c r="Q80" s="54"/>
      <c r="R80" s="54"/>
      <c r="S80" s="54"/>
      <c r="T80" s="54"/>
    </row>
    <row r="81" s="4" customFormat="1" ht="24.95" customHeight="1" spans="1:20">
      <c r="A81" s="20">
        <v>75</v>
      </c>
      <c r="B81" s="20"/>
      <c r="C81" s="39" t="s">
        <v>650</v>
      </c>
      <c r="D81" s="39" t="s">
        <v>651</v>
      </c>
      <c r="E81" s="40">
        <v>1142.5</v>
      </c>
      <c r="F81" s="39" t="s">
        <v>93</v>
      </c>
      <c r="G81" s="46">
        <v>4</v>
      </c>
      <c r="H81" s="47">
        <v>5.4</v>
      </c>
      <c r="I81" s="47">
        <v>21.5</v>
      </c>
      <c r="J81" s="47">
        <v>0.24</v>
      </c>
      <c r="K81" s="47">
        <v>0.97</v>
      </c>
      <c r="L81" s="20"/>
      <c r="M81" s="54"/>
      <c r="N81" s="54"/>
      <c r="O81" s="54"/>
      <c r="P81" s="54"/>
      <c r="Q81" s="54"/>
      <c r="R81" s="54"/>
      <c r="S81" s="54"/>
      <c r="T81" s="54"/>
    </row>
    <row r="82" s="4" customFormat="1" ht="24.95" customHeight="1" spans="1:20">
      <c r="A82" s="20">
        <v>76</v>
      </c>
      <c r="B82" s="20"/>
      <c r="C82" s="39" t="s">
        <v>652</v>
      </c>
      <c r="D82" s="39" t="s">
        <v>651</v>
      </c>
      <c r="E82" s="40">
        <v>1230</v>
      </c>
      <c r="F82" s="39" t="s">
        <v>93</v>
      </c>
      <c r="G82" s="46">
        <v>8</v>
      </c>
      <c r="H82" s="47">
        <v>5.8</v>
      </c>
      <c r="I82" s="47">
        <v>46.3</v>
      </c>
      <c r="J82" s="47">
        <v>0.26</v>
      </c>
      <c r="K82" s="47">
        <v>2.1</v>
      </c>
      <c r="L82" s="20"/>
      <c r="M82" s="54"/>
      <c r="N82" s="54"/>
      <c r="O82" s="54"/>
      <c r="P82" s="54"/>
      <c r="Q82" s="54"/>
      <c r="R82" s="54"/>
      <c r="S82" s="54"/>
      <c r="T82" s="54"/>
    </row>
    <row r="83" s="4" customFormat="1" ht="24.95" customHeight="1" spans="1:20">
      <c r="A83" s="20">
        <v>77</v>
      </c>
      <c r="B83" s="20"/>
      <c r="C83" s="39" t="s">
        <v>653</v>
      </c>
      <c r="D83" s="39" t="s">
        <v>654</v>
      </c>
      <c r="E83" s="40">
        <v>602</v>
      </c>
      <c r="F83" s="39" t="s">
        <v>93</v>
      </c>
      <c r="G83" s="46">
        <v>72</v>
      </c>
      <c r="H83" s="47">
        <v>59.7</v>
      </c>
      <c r="I83" s="47">
        <v>4295.7</v>
      </c>
      <c r="J83" s="47">
        <v>0.66</v>
      </c>
      <c r="K83" s="47">
        <v>47.76</v>
      </c>
      <c r="L83" s="20"/>
      <c r="M83" s="54"/>
      <c r="N83" s="54"/>
      <c r="O83" s="54"/>
      <c r="P83" s="54"/>
      <c r="Q83" s="54"/>
      <c r="R83" s="54"/>
      <c r="S83" s="54"/>
      <c r="T83" s="54"/>
    </row>
    <row r="84" s="4" customFormat="1" ht="24.95" customHeight="1" spans="1:20">
      <c r="A84" s="20">
        <v>78</v>
      </c>
      <c r="B84" s="20"/>
      <c r="C84" s="39" t="s">
        <v>655</v>
      </c>
      <c r="D84" s="39" t="s">
        <v>656</v>
      </c>
      <c r="E84" s="40">
        <v>150</v>
      </c>
      <c r="F84" s="39" t="s">
        <v>93</v>
      </c>
      <c r="G84" s="46">
        <v>128</v>
      </c>
      <c r="H84" s="47">
        <v>1</v>
      </c>
      <c r="I84" s="47">
        <v>131.9</v>
      </c>
      <c r="J84" s="47">
        <v>0.02</v>
      </c>
      <c r="K84" s="47">
        <v>2.24</v>
      </c>
      <c r="L84" s="20"/>
      <c r="M84" s="54"/>
      <c r="N84" s="54"/>
      <c r="O84" s="54"/>
      <c r="P84" s="54"/>
      <c r="Q84" s="54"/>
      <c r="R84" s="54"/>
      <c r="S84" s="54"/>
      <c r="T84" s="54"/>
    </row>
    <row r="85" s="4" customFormat="1" ht="24.95" customHeight="1" spans="1:20">
      <c r="A85" s="20">
        <v>79</v>
      </c>
      <c r="B85" s="20"/>
      <c r="C85" s="39" t="s">
        <v>657</v>
      </c>
      <c r="D85" s="39" t="s">
        <v>656</v>
      </c>
      <c r="E85" s="40">
        <v>150</v>
      </c>
      <c r="F85" s="39" t="s">
        <v>93</v>
      </c>
      <c r="G85" s="46">
        <v>128</v>
      </c>
      <c r="H85" s="47">
        <v>1</v>
      </c>
      <c r="I85" s="47">
        <v>131.9</v>
      </c>
      <c r="J85" s="47">
        <v>0.02</v>
      </c>
      <c r="K85" s="47">
        <v>2.24</v>
      </c>
      <c r="L85" s="20"/>
      <c r="M85" s="54"/>
      <c r="N85" s="54"/>
      <c r="O85" s="54"/>
      <c r="P85" s="54"/>
      <c r="Q85" s="54"/>
      <c r="R85" s="54"/>
      <c r="S85" s="54"/>
      <c r="T85" s="54"/>
    </row>
    <row r="86" s="4" customFormat="1" ht="24.95" customHeight="1" spans="1:20">
      <c r="A86" s="20">
        <v>80</v>
      </c>
      <c r="B86" s="20"/>
      <c r="C86" s="39" t="s">
        <v>658</v>
      </c>
      <c r="D86" s="39" t="s">
        <v>659</v>
      </c>
      <c r="E86" s="40">
        <v>486</v>
      </c>
      <c r="F86" s="39" t="s">
        <v>93</v>
      </c>
      <c r="G86" s="46">
        <v>101</v>
      </c>
      <c r="H86" s="47">
        <v>5.1</v>
      </c>
      <c r="I86" s="47">
        <v>512.5</v>
      </c>
      <c r="J86" s="47">
        <v>0.11</v>
      </c>
      <c r="K86" s="47">
        <v>10.97</v>
      </c>
      <c r="L86" s="20"/>
      <c r="M86" s="54"/>
      <c r="N86" s="54"/>
      <c r="O86" s="54"/>
      <c r="P86" s="54"/>
      <c r="Q86" s="54"/>
      <c r="R86" s="54"/>
      <c r="S86" s="54"/>
      <c r="T86" s="54"/>
    </row>
    <row r="87" s="4" customFormat="1" ht="24.95" customHeight="1" spans="1:20">
      <c r="A87" s="20">
        <v>81</v>
      </c>
      <c r="B87" s="20"/>
      <c r="C87" s="39" t="s">
        <v>660</v>
      </c>
      <c r="D87" s="39" t="s">
        <v>661</v>
      </c>
      <c r="E87" s="40">
        <v>696.5</v>
      </c>
      <c r="F87" s="39" t="s">
        <v>93</v>
      </c>
      <c r="G87" s="46">
        <v>118</v>
      </c>
      <c r="H87" s="47">
        <v>42.9</v>
      </c>
      <c r="I87" s="47">
        <v>5058.1</v>
      </c>
      <c r="J87" s="47">
        <v>0.8</v>
      </c>
      <c r="K87" s="47">
        <v>93.87</v>
      </c>
      <c r="L87" s="20"/>
      <c r="M87" s="54"/>
      <c r="N87" s="54"/>
      <c r="O87" s="54"/>
      <c r="P87" s="54"/>
      <c r="Q87" s="54"/>
      <c r="R87" s="54"/>
      <c r="S87" s="54"/>
      <c r="T87" s="54"/>
    </row>
    <row r="88" s="4" customFormat="1" ht="24.95" customHeight="1" spans="1:20">
      <c r="A88" s="20">
        <v>82</v>
      </c>
      <c r="B88" s="20"/>
      <c r="C88" s="39" t="s">
        <v>662</v>
      </c>
      <c r="D88" s="39" t="s">
        <v>663</v>
      </c>
      <c r="E88" s="40">
        <v>560</v>
      </c>
      <c r="F88" s="39" t="s">
        <v>93</v>
      </c>
      <c r="G88" s="46">
        <v>65</v>
      </c>
      <c r="H88" s="47">
        <v>5.8</v>
      </c>
      <c r="I88" s="47">
        <v>376</v>
      </c>
      <c r="J88" s="47">
        <v>0.12</v>
      </c>
      <c r="K88" s="47">
        <v>7.96</v>
      </c>
      <c r="L88" s="20"/>
      <c r="M88" s="54"/>
      <c r="N88" s="54"/>
      <c r="O88" s="54"/>
      <c r="P88" s="54"/>
      <c r="Q88" s="54"/>
      <c r="R88" s="54"/>
      <c r="S88" s="54"/>
      <c r="T88" s="54"/>
    </row>
    <row r="89" s="4" customFormat="1" ht="24.95" customHeight="1" spans="1:20">
      <c r="A89" s="20">
        <v>83</v>
      </c>
      <c r="B89" s="20"/>
      <c r="C89" s="39" t="s">
        <v>664</v>
      </c>
      <c r="D89" s="39" t="s">
        <v>665</v>
      </c>
      <c r="E89" s="40">
        <v>170</v>
      </c>
      <c r="F89" s="39" t="s">
        <v>93</v>
      </c>
      <c r="G89" s="46">
        <v>40</v>
      </c>
      <c r="H89" s="47">
        <v>2</v>
      </c>
      <c r="I89" s="47">
        <v>79.2</v>
      </c>
      <c r="J89" s="47">
        <v>0.04</v>
      </c>
      <c r="K89" s="47">
        <v>1.75</v>
      </c>
      <c r="L89" s="20"/>
      <c r="M89" s="54"/>
      <c r="N89" s="54"/>
      <c r="O89" s="54"/>
      <c r="P89" s="54"/>
      <c r="Q89" s="54"/>
      <c r="R89" s="54"/>
      <c r="S89" s="54"/>
      <c r="T89" s="54"/>
    </row>
    <row r="90" s="4" customFormat="1" ht="24.95" customHeight="1" spans="1:20">
      <c r="A90" s="20">
        <v>84</v>
      </c>
      <c r="B90" s="20"/>
      <c r="C90" s="39" t="s">
        <v>666</v>
      </c>
      <c r="D90" s="39" t="s">
        <v>667</v>
      </c>
      <c r="E90" s="40">
        <v>766.5</v>
      </c>
      <c r="F90" s="39" t="s">
        <v>93</v>
      </c>
      <c r="G90" s="46">
        <v>20</v>
      </c>
      <c r="H90" s="47">
        <v>14.8</v>
      </c>
      <c r="I90" s="47">
        <v>296.5</v>
      </c>
      <c r="J90" s="47">
        <v>0.27</v>
      </c>
      <c r="K90" s="47">
        <v>5.31</v>
      </c>
      <c r="L90" s="20"/>
      <c r="M90" s="54"/>
      <c r="N90" s="54"/>
      <c r="O90" s="54"/>
      <c r="P90" s="54"/>
      <c r="Q90" s="54"/>
      <c r="R90" s="54"/>
      <c r="S90" s="54"/>
      <c r="T90" s="54"/>
    </row>
    <row r="91" s="4" customFormat="1" ht="24.95" customHeight="1" spans="1:20">
      <c r="A91" s="20">
        <v>85</v>
      </c>
      <c r="B91" s="20"/>
      <c r="C91" s="39" t="s">
        <v>668</v>
      </c>
      <c r="D91" s="39" t="s">
        <v>669</v>
      </c>
      <c r="E91" s="40">
        <v>477.6</v>
      </c>
      <c r="F91" s="39" t="s">
        <v>93</v>
      </c>
      <c r="G91" s="46">
        <v>96</v>
      </c>
      <c r="H91" s="47">
        <v>31.6</v>
      </c>
      <c r="I91" s="47">
        <v>3027.4</v>
      </c>
      <c r="J91" s="47">
        <v>0.52</v>
      </c>
      <c r="K91" s="47">
        <v>49.66</v>
      </c>
      <c r="L91" s="20"/>
      <c r="M91" s="54"/>
      <c r="N91" s="54"/>
      <c r="O91" s="54"/>
      <c r="P91" s="54"/>
      <c r="Q91" s="54"/>
      <c r="R91" s="54"/>
      <c r="S91" s="54"/>
      <c r="T91" s="54"/>
    </row>
    <row r="92" s="4" customFormat="1" ht="24.95" customHeight="1" spans="1:20">
      <c r="A92" s="20">
        <v>86</v>
      </c>
      <c r="B92" s="20"/>
      <c r="C92" s="39" t="s">
        <v>670</v>
      </c>
      <c r="D92" s="39" t="s">
        <v>671</v>
      </c>
      <c r="E92" s="40">
        <v>766.5</v>
      </c>
      <c r="F92" s="39" t="s">
        <v>93</v>
      </c>
      <c r="G92" s="46">
        <v>48</v>
      </c>
      <c r="H92" s="47">
        <v>18.7</v>
      </c>
      <c r="I92" s="47">
        <v>897.6</v>
      </c>
      <c r="J92" s="47">
        <v>0.34</v>
      </c>
      <c r="K92" s="47">
        <v>16.55</v>
      </c>
      <c r="L92" s="20"/>
      <c r="M92" s="54"/>
      <c r="N92" s="54"/>
      <c r="O92" s="54"/>
      <c r="P92" s="54"/>
      <c r="Q92" s="54"/>
      <c r="R92" s="54"/>
      <c r="S92" s="54"/>
      <c r="T92" s="54"/>
    </row>
    <row r="93" s="4" customFormat="1" ht="24.95" customHeight="1" spans="1:20">
      <c r="A93" s="20">
        <v>87</v>
      </c>
      <c r="B93" s="20"/>
      <c r="C93" s="39" t="s">
        <v>672</v>
      </c>
      <c r="D93" s="39" t="s">
        <v>673</v>
      </c>
      <c r="E93" s="40">
        <v>170</v>
      </c>
      <c r="F93" s="39" t="s">
        <v>93</v>
      </c>
      <c r="G93" s="46">
        <v>96</v>
      </c>
      <c r="H93" s="47">
        <v>3</v>
      </c>
      <c r="I93" s="47">
        <v>287</v>
      </c>
      <c r="J93" s="47">
        <v>0.06</v>
      </c>
      <c r="K93" s="47">
        <v>6.11</v>
      </c>
      <c r="L93" s="20"/>
      <c r="M93" s="54"/>
      <c r="N93" s="54"/>
      <c r="O93" s="54"/>
      <c r="P93" s="54"/>
      <c r="Q93" s="54"/>
      <c r="R93" s="54"/>
      <c r="S93" s="54"/>
      <c r="T93" s="54"/>
    </row>
    <row r="94" s="4" customFormat="1" ht="24.95" customHeight="1" spans="1:20">
      <c r="A94" s="20">
        <v>88</v>
      </c>
      <c r="B94" s="20"/>
      <c r="C94" s="39" t="s">
        <v>674</v>
      </c>
      <c r="D94" s="39" t="s">
        <v>663</v>
      </c>
      <c r="E94" s="40">
        <v>560</v>
      </c>
      <c r="F94" s="39" t="s">
        <v>93</v>
      </c>
      <c r="G94" s="46">
        <v>33</v>
      </c>
      <c r="H94" s="47">
        <v>5.8</v>
      </c>
      <c r="I94" s="47">
        <v>190.9</v>
      </c>
      <c r="J94" s="47">
        <v>0.12</v>
      </c>
      <c r="K94" s="47">
        <v>4.04</v>
      </c>
      <c r="L94" s="20"/>
      <c r="M94" s="54"/>
      <c r="N94" s="54"/>
      <c r="O94" s="54"/>
      <c r="P94" s="54"/>
      <c r="Q94" s="54"/>
      <c r="R94" s="54"/>
      <c r="S94" s="54"/>
      <c r="T94" s="54"/>
    </row>
    <row r="95" s="4" customFormat="1" ht="24.95" customHeight="1" spans="1:20">
      <c r="A95" s="20">
        <v>89</v>
      </c>
      <c r="B95" s="20"/>
      <c r="C95" s="39" t="s">
        <v>675</v>
      </c>
      <c r="D95" s="39" t="s">
        <v>676</v>
      </c>
      <c r="E95" s="40">
        <v>452</v>
      </c>
      <c r="F95" s="39" t="s">
        <v>93</v>
      </c>
      <c r="G95" s="46">
        <v>288</v>
      </c>
      <c r="H95" s="47">
        <v>11.2</v>
      </c>
      <c r="I95" s="47">
        <v>3211.8</v>
      </c>
      <c r="J95" s="47">
        <v>0.22</v>
      </c>
      <c r="K95" s="47">
        <v>63.58</v>
      </c>
      <c r="L95" s="20"/>
      <c r="M95" s="54"/>
      <c r="N95" s="54"/>
      <c r="O95" s="54"/>
      <c r="P95" s="54"/>
      <c r="Q95" s="54"/>
      <c r="R95" s="54"/>
      <c r="S95" s="54"/>
      <c r="T95" s="54"/>
    </row>
    <row r="96" s="4" customFormat="1" ht="24.95" customHeight="1" spans="1:20">
      <c r="A96" s="20">
        <v>90</v>
      </c>
      <c r="B96" s="20"/>
      <c r="C96" s="39" t="s">
        <v>677</v>
      </c>
      <c r="D96" s="39" t="s">
        <v>678</v>
      </c>
      <c r="E96" s="40">
        <v>150</v>
      </c>
      <c r="F96" s="39" t="s">
        <v>93</v>
      </c>
      <c r="G96" s="46">
        <v>48</v>
      </c>
      <c r="H96" s="47">
        <v>0.6</v>
      </c>
      <c r="I96" s="47">
        <v>27.7</v>
      </c>
      <c r="J96" s="47">
        <v>0.01</v>
      </c>
      <c r="K96" s="47">
        <v>0.68</v>
      </c>
      <c r="L96" s="20"/>
      <c r="M96" s="54"/>
      <c r="N96" s="54"/>
      <c r="O96" s="54"/>
      <c r="P96" s="54"/>
      <c r="Q96" s="54"/>
      <c r="R96" s="54"/>
      <c r="S96" s="54"/>
      <c r="T96" s="54"/>
    </row>
    <row r="97" s="4" customFormat="1" ht="24.95" customHeight="1" spans="1:20">
      <c r="A97" s="20">
        <v>91</v>
      </c>
      <c r="B97" s="20"/>
      <c r="C97" s="39" t="s">
        <v>679</v>
      </c>
      <c r="D97" s="39" t="s">
        <v>678</v>
      </c>
      <c r="E97" s="40">
        <v>150</v>
      </c>
      <c r="F97" s="39" t="s">
        <v>93</v>
      </c>
      <c r="G97" s="46">
        <v>48</v>
      </c>
      <c r="H97" s="47">
        <v>0.6</v>
      </c>
      <c r="I97" s="47">
        <v>27.7</v>
      </c>
      <c r="J97" s="47">
        <v>0.01</v>
      </c>
      <c r="K97" s="47">
        <v>0.68</v>
      </c>
      <c r="L97" s="20"/>
      <c r="M97" s="54"/>
      <c r="N97" s="54"/>
      <c r="O97" s="54"/>
      <c r="P97" s="54"/>
      <c r="Q97" s="54"/>
      <c r="R97" s="54"/>
      <c r="S97" s="54"/>
      <c r="T97" s="54"/>
    </row>
    <row r="98" s="4" customFormat="1" ht="24.95" customHeight="1" spans="1:20">
      <c r="A98" s="20">
        <v>92</v>
      </c>
      <c r="B98" s="20"/>
      <c r="C98" s="39" t="s">
        <v>680</v>
      </c>
      <c r="D98" s="39" t="s">
        <v>681</v>
      </c>
      <c r="E98" s="40">
        <v>430</v>
      </c>
      <c r="F98" s="39" t="s">
        <v>93</v>
      </c>
      <c r="G98" s="46">
        <v>33</v>
      </c>
      <c r="H98" s="47">
        <v>6.8</v>
      </c>
      <c r="I98" s="47">
        <v>223</v>
      </c>
      <c r="J98" s="47">
        <v>0.14</v>
      </c>
      <c r="K98" s="47">
        <v>4.55</v>
      </c>
      <c r="L98" s="20"/>
      <c r="M98" s="54"/>
      <c r="N98" s="54"/>
      <c r="O98" s="54"/>
      <c r="P98" s="54"/>
      <c r="Q98" s="54"/>
      <c r="R98" s="54"/>
      <c r="S98" s="54"/>
      <c r="T98" s="54"/>
    </row>
    <row r="99" s="4" customFormat="1" ht="24.95" customHeight="1" spans="1:20">
      <c r="A99" s="20">
        <v>93</v>
      </c>
      <c r="B99" s="20"/>
      <c r="C99" s="39" t="s">
        <v>682</v>
      </c>
      <c r="D99" s="39" t="s">
        <v>683</v>
      </c>
      <c r="E99" s="40">
        <v>350</v>
      </c>
      <c r="F99" s="39" t="s">
        <v>93</v>
      </c>
      <c r="G99" s="46">
        <v>131</v>
      </c>
      <c r="H99" s="47">
        <v>4.6</v>
      </c>
      <c r="I99" s="47">
        <v>604.7</v>
      </c>
      <c r="J99" s="47">
        <v>0.09</v>
      </c>
      <c r="K99" s="47">
        <v>11.82</v>
      </c>
      <c r="L99" s="20"/>
      <c r="M99" s="54"/>
      <c r="N99" s="54"/>
      <c r="O99" s="54"/>
      <c r="P99" s="54"/>
      <c r="Q99" s="54"/>
      <c r="R99" s="54"/>
      <c r="S99" s="54"/>
      <c r="T99" s="54"/>
    </row>
    <row r="100" s="4" customFormat="1" ht="24.95" customHeight="1" spans="1:20">
      <c r="A100" s="20">
        <v>94</v>
      </c>
      <c r="B100" s="20"/>
      <c r="C100" s="39" t="s">
        <v>684</v>
      </c>
      <c r="D100" s="39" t="s">
        <v>685</v>
      </c>
      <c r="E100" s="40">
        <v>492.5</v>
      </c>
      <c r="F100" s="39" t="s">
        <v>93</v>
      </c>
      <c r="G100" s="46">
        <v>28</v>
      </c>
      <c r="H100" s="47">
        <v>5.4</v>
      </c>
      <c r="I100" s="47">
        <v>152.4</v>
      </c>
      <c r="J100" s="47">
        <v>0.18</v>
      </c>
      <c r="K100" s="47">
        <v>5.13</v>
      </c>
      <c r="L100" s="20"/>
      <c r="M100" s="54"/>
      <c r="N100" s="54"/>
      <c r="O100" s="54"/>
      <c r="P100" s="54"/>
      <c r="Q100" s="54"/>
      <c r="R100" s="54"/>
      <c r="S100" s="54"/>
      <c r="T100" s="54"/>
    </row>
    <row r="101" s="4" customFormat="1" ht="24.95" customHeight="1" spans="1:20">
      <c r="A101" s="20">
        <v>95</v>
      </c>
      <c r="B101" s="20"/>
      <c r="C101" s="39" t="s">
        <v>686</v>
      </c>
      <c r="D101" s="39" t="s">
        <v>687</v>
      </c>
      <c r="E101" s="40">
        <v>397</v>
      </c>
      <c r="F101" s="39" t="s">
        <v>93</v>
      </c>
      <c r="G101" s="46">
        <v>28</v>
      </c>
      <c r="H101" s="47">
        <v>5</v>
      </c>
      <c r="I101" s="47">
        <v>139.6</v>
      </c>
      <c r="J101" s="47">
        <v>0.16</v>
      </c>
      <c r="K101" s="47">
        <v>4.6</v>
      </c>
      <c r="L101" s="20"/>
      <c r="M101" s="54"/>
      <c r="N101" s="54"/>
      <c r="O101" s="54"/>
      <c r="P101" s="54"/>
      <c r="Q101" s="54"/>
      <c r="R101" s="54"/>
      <c r="S101" s="54"/>
      <c r="T101" s="54"/>
    </row>
    <row r="102" s="4" customFormat="1" ht="24.95" customHeight="1" spans="1:20">
      <c r="A102" s="20">
        <v>96</v>
      </c>
      <c r="B102" s="20"/>
      <c r="C102" s="39" t="s">
        <v>688</v>
      </c>
      <c r="D102" s="39" t="s">
        <v>689</v>
      </c>
      <c r="E102" s="40">
        <v>572</v>
      </c>
      <c r="F102" s="39" t="s">
        <v>93</v>
      </c>
      <c r="G102" s="46">
        <v>28</v>
      </c>
      <c r="H102" s="47">
        <v>6.6</v>
      </c>
      <c r="I102" s="47">
        <v>185.1</v>
      </c>
      <c r="J102" s="47">
        <v>0.21</v>
      </c>
      <c r="K102" s="47">
        <v>5.92</v>
      </c>
      <c r="L102" s="20"/>
      <c r="M102" s="54"/>
      <c r="N102" s="54"/>
      <c r="O102" s="54"/>
      <c r="P102" s="54"/>
      <c r="Q102" s="54"/>
      <c r="R102" s="54"/>
      <c r="S102" s="54"/>
      <c r="T102" s="54"/>
    </row>
    <row r="103" s="4" customFormat="1" ht="24.95" customHeight="1" spans="1:20">
      <c r="A103" s="20">
        <v>97</v>
      </c>
      <c r="B103" s="20"/>
      <c r="C103" s="39" t="s">
        <v>690</v>
      </c>
      <c r="D103" s="39" t="s">
        <v>691</v>
      </c>
      <c r="E103" s="40">
        <v>228.4</v>
      </c>
      <c r="F103" s="39" t="s">
        <v>93</v>
      </c>
      <c r="G103" s="46">
        <v>2</v>
      </c>
      <c r="H103" s="47">
        <v>2.8</v>
      </c>
      <c r="I103" s="47">
        <v>5.6</v>
      </c>
      <c r="J103" s="47">
        <v>0.07</v>
      </c>
      <c r="K103" s="47">
        <v>0.14</v>
      </c>
      <c r="L103" s="20"/>
      <c r="M103" s="54"/>
      <c r="N103" s="54"/>
      <c r="O103" s="54"/>
      <c r="P103" s="54"/>
      <c r="Q103" s="54"/>
      <c r="R103" s="54"/>
      <c r="S103" s="54"/>
      <c r="T103" s="54"/>
    </row>
    <row r="104" s="4" customFormat="1" ht="24.95" customHeight="1" spans="1:20">
      <c r="A104" s="20">
        <v>98</v>
      </c>
      <c r="B104" s="20"/>
      <c r="C104" s="39" t="s">
        <v>692</v>
      </c>
      <c r="D104" s="39" t="s">
        <v>693</v>
      </c>
      <c r="E104" s="40">
        <v>228.4</v>
      </c>
      <c r="F104" s="39" t="s">
        <v>93</v>
      </c>
      <c r="G104" s="46">
        <v>2</v>
      </c>
      <c r="H104" s="47">
        <v>2.7</v>
      </c>
      <c r="I104" s="47">
        <v>5.3</v>
      </c>
      <c r="J104" s="47">
        <v>0.07</v>
      </c>
      <c r="K104" s="47">
        <v>0.13</v>
      </c>
      <c r="L104" s="20"/>
      <c r="M104" s="54"/>
      <c r="N104" s="54"/>
      <c r="O104" s="54"/>
      <c r="P104" s="54"/>
      <c r="Q104" s="54"/>
      <c r="R104" s="54"/>
      <c r="S104" s="54"/>
      <c r="T104" s="54"/>
    </row>
    <row r="105" s="4" customFormat="1" ht="24.95" customHeight="1" spans="1:20">
      <c r="A105" s="20">
        <v>99</v>
      </c>
      <c r="B105" s="20"/>
      <c r="C105" s="39" t="s">
        <v>694</v>
      </c>
      <c r="D105" s="39" t="s">
        <v>691</v>
      </c>
      <c r="E105" s="40">
        <v>227.3</v>
      </c>
      <c r="F105" s="39" t="s">
        <v>93</v>
      </c>
      <c r="G105" s="46">
        <v>8</v>
      </c>
      <c r="H105" s="47">
        <v>2.8</v>
      </c>
      <c r="I105" s="47">
        <v>22.2</v>
      </c>
      <c r="J105" s="47">
        <v>0.07</v>
      </c>
      <c r="K105" s="47">
        <v>0.55</v>
      </c>
      <c r="L105" s="20"/>
      <c r="M105" s="54"/>
      <c r="N105" s="54"/>
      <c r="O105" s="54"/>
      <c r="P105" s="54"/>
      <c r="Q105" s="54"/>
      <c r="R105" s="54"/>
      <c r="S105" s="54"/>
      <c r="T105" s="54"/>
    </row>
    <row r="106" s="4" customFormat="1" ht="24.95" customHeight="1" spans="1:20">
      <c r="A106" s="20">
        <v>100</v>
      </c>
      <c r="B106" s="20"/>
      <c r="C106" s="39" t="s">
        <v>695</v>
      </c>
      <c r="D106" s="39" t="s">
        <v>693</v>
      </c>
      <c r="E106" s="40">
        <v>227.3</v>
      </c>
      <c r="F106" s="39" t="s">
        <v>93</v>
      </c>
      <c r="G106" s="46">
        <v>24</v>
      </c>
      <c r="H106" s="47">
        <v>2.7</v>
      </c>
      <c r="I106" s="47">
        <v>63.7</v>
      </c>
      <c r="J106" s="47">
        <v>0.07</v>
      </c>
      <c r="K106" s="47">
        <v>1.58</v>
      </c>
      <c r="L106" s="20"/>
      <c r="M106" s="54"/>
      <c r="N106" s="54"/>
      <c r="O106" s="54"/>
      <c r="P106" s="54"/>
      <c r="Q106" s="54"/>
      <c r="R106" s="54"/>
      <c r="S106" s="54"/>
      <c r="T106" s="54"/>
    </row>
    <row r="107" s="4" customFormat="1" ht="24.95" customHeight="1" spans="1:20">
      <c r="A107" s="20">
        <v>101</v>
      </c>
      <c r="B107" s="20"/>
      <c r="C107" s="39" t="s">
        <v>696</v>
      </c>
      <c r="D107" s="39" t="s">
        <v>691</v>
      </c>
      <c r="E107" s="40">
        <v>229.5</v>
      </c>
      <c r="F107" s="39" t="s">
        <v>93</v>
      </c>
      <c r="G107" s="46">
        <v>2</v>
      </c>
      <c r="H107" s="47">
        <v>2.8</v>
      </c>
      <c r="I107" s="47">
        <v>5.6</v>
      </c>
      <c r="J107" s="47">
        <v>0.07</v>
      </c>
      <c r="K107" s="47">
        <v>0.14</v>
      </c>
      <c r="L107" s="20"/>
      <c r="M107" s="54"/>
      <c r="N107" s="54"/>
      <c r="O107" s="54"/>
      <c r="P107" s="54"/>
      <c r="Q107" s="54"/>
      <c r="R107" s="54"/>
      <c r="S107" s="54"/>
      <c r="T107" s="54"/>
    </row>
    <row r="108" s="4" customFormat="1" ht="24.95" customHeight="1" spans="1:20">
      <c r="A108" s="20">
        <v>102</v>
      </c>
      <c r="B108" s="20"/>
      <c r="C108" s="39" t="s">
        <v>697</v>
      </c>
      <c r="D108" s="39" t="s">
        <v>693</v>
      </c>
      <c r="E108" s="40">
        <v>229.5</v>
      </c>
      <c r="F108" s="39" t="s">
        <v>93</v>
      </c>
      <c r="G108" s="46">
        <v>6</v>
      </c>
      <c r="H108" s="47">
        <v>2.7</v>
      </c>
      <c r="I108" s="47">
        <v>16.1</v>
      </c>
      <c r="J108" s="47">
        <v>0.07</v>
      </c>
      <c r="K108" s="47">
        <v>0.39</v>
      </c>
      <c r="L108" s="20"/>
      <c r="M108" s="54"/>
      <c r="N108" s="54"/>
      <c r="O108" s="54"/>
      <c r="P108" s="54"/>
      <c r="Q108" s="54"/>
      <c r="R108" s="54"/>
      <c r="S108" s="54"/>
      <c r="T108" s="54"/>
    </row>
    <row r="109" s="4" customFormat="1" ht="24.95" customHeight="1" spans="1:20">
      <c r="A109" s="20">
        <v>103</v>
      </c>
      <c r="B109" s="20"/>
      <c r="C109" s="39" t="s">
        <v>698</v>
      </c>
      <c r="D109" s="39" t="s">
        <v>691</v>
      </c>
      <c r="E109" s="40">
        <v>226.5</v>
      </c>
      <c r="F109" s="39" t="s">
        <v>93</v>
      </c>
      <c r="G109" s="46">
        <v>2</v>
      </c>
      <c r="H109" s="47">
        <v>2.8</v>
      </c>
      <c r="I109" s="47">
        <v>5.5</v>
      </c>
      <c r="J109" s="47">
        <v>0.07</v>
      </c>
      <c r="K109" s="47">
        <v>0.14</v>
      </c>
      <c r="L109" s="20"/>
      <c r="M109" s="54"/>
      <c r="N109" s="54"/>
      <c r="O109" s="54"/>
      <c r="P109" s="54"/>
      <c r="Q109" s="54"/>
      <c r="R109" s="54"/>
      <c r="S109" s="54"/>
      <c r="T109" s="54"/>
    </row>
    <row r="110" s="4" customFormat="1" ht="24.95" customHeight="1" spans="1:20">
      <c r="A110" s="20">
        <v>104</v>
      </c>
      <c r="B110" s="20"/>
      <c r="C110" s="39" t="s">
        <v>699</v>
      </c>
      <c r="D110" s="39" t="s">
        <v>693</v>
      </c>
      <c r="E110" s="40">
        <v>226.4</v>
      </c>
      <c r="F110" s="39" t="s">
        <v>93</v>
      </c>
      <c r="G110" s="46">
        <v>6</v>
      </c>
      <c r="H110" s="47">
        <v>2.6</v>
      </c>
      <c r="I110" s="47">
        <v>15.9</v>
      </c>
      <c r="J110" s="47">
        <v>0.07</v>
      </c>
      <c r="K110" s="47">
        <v>0.39</v>
      </c>
      <c r="L110" s="20"/>
      <c r="M110" s="54"/>
      <c r="N110" s="54"/>
      <c r="O110" s="54"/>
      <c r="P110" s="54"/>
      <c r="Q110" s="54"/>
      <c r="R110" s="54"/>
      <c r="S110" s="54"/>
      <c r="T110" s="54"/>
    </row>
    <row r="111" s="4" customFormat="1" ht="24.95" customHeight="1" spans="1:20">
      <c r="A111" s="20">
        <v>105</v>
      </c>
      <c r="B111" s="20"/>
      <c r="C111" s="39" t="s">
        <v>700</v>
      </c>
      <c r="D111" s="39" t="s">
        <v>701</v>
      </c>
      <c r="E111" s="40">
        <v>280</v>
      </c>
      <c r="F111" s="39" t="s">
        <v>93</v>
      </c>
      <c r="G111" s="46">
        <v>28</v>
      </c>
      <c r="H111" s="47">
        <v>3.4</v>
      </c>
      <c r="I111" s="47">
        <v>96.5</v>
      </c>
      <c r="J111" s="47">
        <v>0.09</v>
      </c>
      <c r="K111" s="47">
        <v>2.59</v>
      </c>
      <c r="L111" s="20"/>
      <c r="M111" s="54"/>
      <c r="N111" s="54"/>
      <c r="O111" s="54"/>
      <c r="P111" s="54"/>
      <c r="Q111" s="54"/>
      <c r="R111" s="54"/>
      <c r="S111" s="54"/>
      <c r="T111" s="54"/>
    </row>
    <row r="112" s="4" customFormat="1" ht="24.95" customHeight="1" spans="1:20">
      <c r="A112" s="20">
        <v>106</v>
      </c>
      <c r="B112" s="20"/>
      <c r="C112" s="39" t="s">
        <v>702</v>
      </c>
      <c r="D112" s="39" t="s">
        <v>691</v>
      </c>
      <c r="E112" s="40">
        <v>203.1</v>
      </c>
      <c r="F112" s="39" t="s">
        <v>93</v>
      </c>
      <c r="G112" s="46">
        <v>2</v>
      </c>
      <c r="H112" s="47">
        <v>2.5</v>
      </c>
      <c r="I112" s="47">
        <v>4.9</v>
      </c>
      <c r="J112" s="47">
        <v>0.07</v>
      </c>
      <c r="K112" s="47">
        <v>0.14</v>
      </c>
      <c r="L112" s="20"/>
      <c r="M112" s="54"/>
      <c r="N112" s="54"/>
      <c r="O112" s="54"/>
      <c r="P112" s="54"/>
      <c r="Q112" s="54"/>
      <c r="R112" s="54"/>
      <c r="S112" s="54"/>
      <c r="T112" s="54"/>
    </row>
    <row r="113" s="4" customFormat="1" ht="24.95" customHeight="1" spans="1:20">
      <c r="A113" s="20">
        <v>107</v>
      </c>
      <c r="B113" s="20"/>
      <c r="C113" s="39" t="s">
        <v>703</v>
      </c>
      <c r="D113" s="39" t="s">
        <v>693</v>
      </c>
      <c r="E113" s="40">
        <v>203.1</v>
      </c>
      <c r="F113" s="39" t="s">
        <v>93</v>
      </c>
      <c r="G113" s="46">
        <v>6</v>
      </c>
      <c r="H113" s="47">
        <v>2.4</v>
      </c>
      <c r="I113" s="47">
        <v>14.2</v>
      </c>
      <c r="J113" s="47">
        <v>0.07</v>
      </c>
      <c r="K113" s="47">
        <v>0.39</v>
      </c>
      <c r="L113" s="20"/>
      <c r="M113" s="54"/>
      <c r="N113" s="54"/>
      <c r="O113" s="54"/>
      <c r="P113" s="54"/>
      <c r="Q113" s="54"/>
      <c r="R113" s="54"/>
      <c r="S113" s="54"/>
      <c r="T113" s="54"/>
    </row>
    <row r="114" s="4" customFormat="1" ht="24.95" customHeight="1" spans="1:20">
      <c r="A114" s="20">
        <v>108</v>
      </c>
      <c r="B114" s="20"/>
      <c r="C114" s="39" t="s">
        <v>704</v>
      </c>
      <c r="D114" s="39" t="s">
        <v>691</v>
      </c>
      <c r="E114" s="40">
        <v>198.3</v>
      </c>
      <c r="F114" s="39" t="s">
        <v>93</v>
      </c>
      <c r="G114" s="46">
        <v>2</v>
      </c>
      <c r="H114" s="47">
        <v>2.4</v>
      </c>
      <c r="I114" s="47">
        <v>4.8</v>
      </c>
      <c r="J114" s="47">
        <v>0.07</v>
      </c>
      <c r="K114" s="47">
        <v>0.14</v>
      </c>
      <c r="L114" s="20"/>
      <c r="M114" s="54"/>
      <c r="N114" s="54"/>
      <c r="O114" s="54"/>
      <c r="P114" s="54"/>
      <c r="Q114" s="54"/>
      <c r="R114" s="54"/>
      <c r="S114" s="54"/>
      <c r="T114" s="54"/>
    </row>
    <row r="115" s="4" customFormat="1" ht="24.95" customHeight="1" spans="1:20">
      <c r="A115" s="20">
        <v>109</v>
      </c>
      <c r="B115" s="20"/>
      <c r="C115" s="39" t="s">
        <v>705</v>
      </c>
      <c r="D115" s="39" t="s">
        <v>693</v>
      </c>
      <c r="E115" s="40">
        <v>198.6</v>
      </c>
      <c r="F115" s="39" t="s">
        <v>93</v>
      </c>
      <c r="G115" s="46">
        <v>6</v>
      </c>
      <c r="H115" s="47">
        <v>2.3</v>
      </c>
      <c r="I115" s="47">
        <v>13.9</v>
      </c>
      <c r="J115" s="47">
        <v>0.07</v>
      </c>
      <c r="K115" s="47">
        <v>0.39</v>
      </c>
      <c r="L115" s="20"/>
      <c r="M115" s="54"/>
      <c r="N115" s="54"/>
      <c r="O115" s="54"/>
      <c r="P115" s="54"/>
      <c r="Q115" s="54"/>
      <c r="R115" s="54"/>
      <c r="S115" s="54"/>
      <c r="T115" s="54"/>
    </row>
    <row r="116" s="4" customFormat="1" ht="24.95" customHeight="1" spans="1:20">
      <c r="A116" s="20">
        <v>110</v>
      </c>
      <c r="B116" s="20"/>
      <c r="C116" s="39" t="s">
        <v>706</v>
      </c>
      <c r="D116" s="39" t="s">
        <v>693</v>
      </c>
      <c r="E116" s="40">
        <v>206</v>
      </c>
      <c r="F116" s="39" t="s">
        <v>93</v>
      </c>
      <c r="G116" s="46">
        <v>6</v>
      </c>
      <c r="H116" s="47">
        <v>2.4</v>
      </c>
      <c r="I116" s="47">
        <v>14.4</v>
      </c>
      <c r="J116" s="47">
        <v>0.07</v>
      </c>
      <c r="K116" s="47">
        <v>0.39</v>
      </c>
      <c r="L116" s="20"/>
      <c r="M116" s="54"/>
      <c r="N116" s="54"/>
      <c r="O116" s="54"/>
      <c r="P116" s="54"/>
      <c r="Q116" s="54"/>
      <c r="R116" s="54"/>
      <c r="S116" s="54"/>
      <c r="T116" s="54"/>
    </row>
    <row r="117" s="4" customFormat="1" ht="24.95" customHeight="1" spans="1:20">
      <c r="A117" s="20">
        <v>111</v>
      </c>
      <c r="B117" s="20"/>
      <c r="C117" s="39" t="s">
        <v>707</v>
      </c>
      <c r="D117" s="39" t="s">
        <v>693</v>
      </c>
      <c r="E117" s="40">
        <v>200.4</v>
      </c>
      <c r="F117" s="39" t="s">
        <v>93</v>
      </c>
      <c r="G117" s="46">
        <v>24</v>
      </c>
      <c r="H117" s="47">
        <v>2.3</v>
      </c>
      <c r="I117" s="47">
        <v>56.2</v>
      </c>
      <c r="J117" s="47">
        <v>0.07</v>
      </c>
      <c r="K117" s="47">
        <v>1.58</v>
      </c>
      <c r="L117" s="20"/>
      <c r="M117" s="54"/>
      <c r="N117" s="54"/>
      <c r="O117" s="54"/>
      <c r="P117" s="54"/>
      <c r="Q117" s="54"/>
      <c r="R117" s="54"/>
      <c r="S117" s="54"/>
      <c r="T117" s="54"/>
    </row>
    <row r="118" s="4" customFormat="1" ht="24.95" customHeight="1" spans="1:20">
      <c r="A118" s="20">
        <v>112</v>
      </c>
      <c r="B118" s="20"/>
      <c r="C118" s="39" t="s">
        <v>708</v>
      </c>
      <c r="D118" s="39" t="s">
        <v>691</v>
      </c>
      <c r="E118" s="40">
        <v>206</v>
      </c>
      <c r="F118" s="39" t="s">
        <v>93</v>
      </c>
      <c r="G118" s="46">
        <v>2</v>
      </c>
      <c r="H118" s="47">
        <v>2.5</v>
      </c>
      <c r="I118" s="47">
        <v>5</v>
      </c>
      <c r="J118" s="47">
        <v>0.07</v>
      </c>
      <c r="K118" s="47">
        <v>0.14</v>
      </c>
      <c r="L118" s="20"/>
      <c r="M118" s="54"/>
      <c r="N118" s="54"/>
      <c r="O118" s="54"/>
      <c r="P118" s="54"/>
      <c r="Q118" s="54"/>
      <c r="R118" s="54"/>
      <c r="S118" s="54"/>
      <c r="T118" s="54"/>
    </row>
    <row r="119" s="4" customFormat="1" ht="24.95" customHeight="1" spans="1:20">
      <c r="A119" s="20">
        <v>113</v>
      </c>
      <c r="B119" s="20"/>
      <c r="C119" s="39" t="s">
        <v>709</v>
      </c>
      <c r="D119" s="39" t="s">
        <v>691</v>
      </c>
      <c r="E119" s="40">
        <v>200.4</v>
      </c>
      <c r="F119" s="39" t="s">
        <v>93</v>
      </c>
      <c r="G119" s="46">
        <v>8</v>
      </c>
      <c r="H119" s="47">
        <v>2.4</v>
      </c>
      <c r="I119" s="47">
        <v>19.5</v>
      </c>
      <c r="J119" s="47">
        <v>0.07</v>
      </c>
      <c r="K119" s="47">
        <v>0.55</v>
      </c>
      <c r="L119" s="20"/>
      <c r="M119" s="54"/>
      <c r="N119" s="54"/>
      <c r="O119" s="54"/>
      <c r="P119" s="54"/>
      <c r="Q119" s="54"/>
      <c r="R119" s="54"/>
      <c r="S119" s="54"/>
      <c r="T119" s="54"/>
    </row>
    <row r="120" s="4" customFormat="1" ht="24.95" customHeight="1" spans="1:20">
      <c r="A120" s="20">
        <v>114</v>
      </c>
      <c r="B120" s="20"/>
      <c r="C120" s="39" t="s">
        <v>710</v>
      </c>
      <c r="D120" s="39" t="s">
        <v>693</v>
      </c>
      <c r="E120" s="40">
        <v>187</v>
      </c>
      <c r="F120" s="39" t="s">
        <v>93</v>
      </c>
      <c r="G120" s="46">
        <v>28</v>
      </c>
      <c r="H120" s="47">
        <v>2.2</v>
      </c>
      <c r="I120" s="47">
        <v>61.2</v>
      </c>
      <c r="J120" s="47">
        <v>0.06</v>
      </c>
      <c r="K120" s="47">
        <v>1.73</v>
      </c>
      <c r="L120" s="20"/>
      <c r="M120" s="54"/>
      <c r="N120" s="54"/>
      <c r="O120" s="54"/>
      <c r="P120" s="54"/>
      <c r="Q120" s="54"/>
      <c r="R120" s="54"/>
      <c r="S120" s="54"/>
      <c r="T120" s="54"/>
    </row>
    <row r="121" s="4" customFormat="1" ht="24.95" customHeight="1" spans="1:20">
      <c r="A121" s="20">
        <v>115</v>
      </c>
      <c r="B121" s="20"/>
      <c r="C121" s="39" t="s">
        <v>711</v>
      </c>
      <c r="D121" s="39" t="s">
        <v>712</v>
      </c>
      <c r="E121" s="40">
        <v>280</v>
      </c>
      <c r="F121" s="39" t="s">
        <v>93</v>
      </c>
      <c r="G121" s="46">
        <v>124</v>
      </c>
      <c r="H121" s="47">
        <v>1.7</v>
      </c>
      <c r="I121" s="47">
        <v>209.3</v>
      </c>
      <c r="J121" s="47">
        <v>0.06</v>
      </c>
      <c r="K121" s="47">
        <v>7.29</v>
      </c>
      <c r="L121" s="20"/>
      <c r="M121" s="54"/>
      <c r="N121" s="54"/>
      <c r="O121" s="54"/>
      <c r="P121" s="54"/>
      <c r="Q121" s="54"/>
      <c r="R121" s="54"/>
      <c r="S121" s="54"/>
      <c r="T121" s="54"/>
    </row>
    <row r="122" s="4" customFormat="1" ht="24.95" customHeight="1" spans="1:20">
      <c r="A122" s="20">
        <v>116</v>
      </c>
      <c r="B122" s="20"/>
      <c r="C122" s="39" t="s">
        <v>713</v>
      </c>
      <c r="D122" s="39" t="s">
        <v>714</v>
      </c>
      <c r="E122" s="40">
        <v>184</v>
      </c>
      <c r="F122" s="39" t="s">
        <v>93</v>
      </c>
      <c r="G122" s="46">
        <v>145</v>
      </c>
      <c r="H122" s="47">
        <v>1.1</v>
      </c>
      <c r="I122" s="47">
        <v>161.2</v>
      </c>
      <c r="J122" s="47">
        <v>0.04</v>
      </c>
      <c r="K122" s="47">
        <v>5.64</v>
      </c>
      <c r="L122" s="20"/>
      <c r="M122" s="54"/>
      <c r="N122" s="54"/>
      <c r="O122" s="54"/>
      <c r="P122" s="54"/>
      <c r="Q122" s="54"/>
      <c r="R122" s="54"/>
      <c r="S122" s="54"/>
      <c r="T122" s="54"/>
    </row>
    <row r="123" s="4" customFormat="1" ht="24.95" customHeight="1" spans="1:20">
      <c r="A123" s="20">
        <v>117</v>
      </c>
      <c r="B123" s="20"/>
      <c r="C123" s="39" t="s">
        <v>715</v>
      </c>
      <c r="D123" s="39" t="s">
        <v>716</v>
      </c>
      <c r="E123" s="40">
        <v>222</v>
      </c>
      <c r="F123" s="39" t="s">
        <v>93</v>
      </c>
      <c r="G123" s="46">
        <v>108</v>
      </c>
      <c r="H123" s="47">
        <v>1.7</v>
      </c>
      <c r="I123" s="47">
        <v>180.7</v>
      </c>
      <c r="J123" s="47">
        <v>0.06</v>
      </c>
      <c r="K123" s="47">
        <v>6.24</v>
      </c>
      <c r="L123" s="20"/>
      <c r="M123" s="54"/>
      <c r="N123" s="54"/>
      <c r="O123" s="54"/>
      <c r="P123" s="54"/>
      <c r="Q123" s="54"/>
      <c r="R123" s="54"/>
      <c r="S123" s="54"/>
      <c r="T123" s="54"/>
    </row>
    <row r="124" s="4" customFormat="1" ht="24.95" customHeight="1" spans="1:20">
      <c r="A124" s="20">
        <v>118</v>
      </c>
      <c r="B124" s="20"/>
      <c r="C124" s="39" t="s">
        <v>717</v>
      </c>
      <c r="D124" s="39" t="s">
        <v>718</v>
      </c>
      <c r="E124" s="40">
        <v>184</v>
      </c>
      <c r="F124" s="39" t="s">
        <v>93</v>
      </c>
      <c r="G124" s="46">
        <v>28</v>
      </c>
      <c r="H124" s="47">
        <v>1</v>
      </c>
      <c r="I124" s="47">
        <v>28.5</v>
      </c>
      <c r="J124" s="47">
        <v>0.04</v>
      </c>
      <c r="K124" s="47">
        <v>1</v>
      </c>
      <c r="L124" s="20"/>
      <c r="M124" s="54"/>
      <c r="N124" s="54"/>
      <c r="O124" s="54"/>
      <c r="P124" s="54"/>
      <c r="Q124" s="54"/>
      <c r="R124" s="54"/>
      <c r="S124" s="54"/>
      <c r="T124" s="54"/>
    </row>
    <row r="125" s="4" customFormat="1" ht="24.95" customHeight="1" spans="1:20">
      <c r="A125" s="20">
        <v>119</v>
      </c>
      <c r="B125" s="20"/>
      <c r="C125" s="39" t="s">
        <v>719</v>
      </c>
      <c r="D125" s="39" t="s">
        <v>687</v>
      </c>
      <c r="E125" s="40">
        <v>500</v>
      </c>
      <c r="F125" s="39" t="s">
        <v>93</v>
      </c>
      <c r="G125" s="46">
        <v>28</v>
      </c>
      <c r="H125" s="47">
        <v>6.3</v>
      </c>
      <c r="I125" s="47">
        <v>175.8</v>
      </c>
      <c r="J125" s="47">
        <v>0.21</v>
      </c>
      <c r="K125" s="47">
        <v>5.91</v>
      </c>
      <c r="L125" s="20"/>
      <c r="M125" s="54"/>
      <c r="N125" s="54"/>
      <c r="O125" s="54"/>
      <c r="P125" s="54"/>
      <c r="Q125" s="54"/>
      <c r="R125" s="54"/>
      <c r="S125" s="54"/>
      <c r="T125" s="54"/>
    </row>
    <row r="126" s="4" customFormat="1" ht="24.95" customHeight="1" spans="1:20">
      <c r="A126" s="20">
        <v>120</v>
      </c>
      <c r="B126" s="20"/>
      <c r="C126" s="39" t="s">
        <v>720</v>
      </c>
      <c r="D126" s="39" t="s">
        <v>721</v>
      </c>
      <c r="E126" s="40">
        <v>1205</v>
      </c>
      <c r="F126" s="39" t="s">
        <v>93</v>
      </c>
      <c r="G126" s="46">
        <v>72</v>
      </c>
      <c r="H126" s="47">
        <v>6.1</v>
      </c>
      <c r="I126" s="47">
        <v>435.9</v>
      </c>
      <c r="J126" s="47">
        <v>0.21</v>
      </c>
      <c r="K126" s="47">
        <v>15.36</v>
      </c>
      <c r="L126" s="20"/>
      <c r="M126" s="54"/>
      <c r="N126" s="54"/>
      <c r="O126" s="54"/>
      <c r="P126" s="54"/>
      <c r="Q126" s="54"/>
      <c r="R126" s="54"/>
      <c r="S126" s="54"/>
      <c r="T126" s="54"/>
    </row>
    <row r="127" s="4" customFormat="1" ht="24.95" customHeight="1" spans="1:20">
      <c r="A127" s="20">
        <v>121</v>
      </c>
      <c r="B127" s="20"/>
      <c r="C127" s="39" t="s">
        <v>722</v>
      </c>
      <c r="D127" s="39" t="s">
        <v>721</v>
      </c>
      <c r="E127" s="40">
        <v>1167.5</v>
      </c>
      <c r="F127" s="39" t="s">
        <v>93</v>
      </c>
      <c r="G127" s="46">
        <v>140</v>
      </c>
      <c r="H127" s="47">
        <v>5.9</v>
      </c>
      <c r="I127" s="47">
        <v>821.2</v>
      </c>
      <c r="J127" s="47">
        <v>0.21</v>
      </c>
      <c r="K127" s="47">
        <v>28.95</v>
      </c>
      <c r="L127" s="20"/>
      <c r="M127" s="54"/>
      <c r="N127" s="54"/>
      <c r="O127" s="54"/>
      <c r="P127" s="54"/>
      <c r="Q127" s="54"/>
      <c r="R127" s="54"/>
      <c r="S127" s="54"/>
      <c r="T127" s="54"/>
    </row>
    <row r="128" s="4" customFormat="1" ht="24.95" customHeight="1" spans="1:20">
      <c r="A128" s="20">
        <v>122</v>
      </c>
      <c r="B128" s="20"/>
      <c r="C128" s="39" t="s">
        <v>723</v>
      </c>
      <c r="D128" s="39" t="s">
        <v>724</v>
      </c>
      <c r="E128" s="40">
        <v>320</v>
      </c>
      <c r="F128" s="39" t="s">
        <v>93</v>
      </c>
      <c r="G128" s="46">
        <v>4</v>
      </c>
      <c r="H128" s="47">
        <v>1.9</v>
      </c>
      <c r="I128" s="47">
        <v>7.6</v>
      </c>
      <c r="J128" s="47">
        <v>0.07</v>
      </c>
      <c r="K128" s="47">
        <v>0.27</v>
      </c>
      <c r="L128" s="20"/>
      <c r="M128" s="54"/>
      <c r="N128" s="54"/>
      <c r="O128" s="54"/>
      <c r="P128" s="54"/>
      <c r="Q128" s="54"/>
      <c r="R128" s="54"/>
      <c r="S128" s="54"/>
      <c r="T128" s="54"/>
    </row>
    <row r="129" s="4" customFormat="1" ht="24.95" customHeight="1" spans="1:20">
      <c r="A129" s="20">
        <v>123</v>
      </c>
      <c r="B129" s="20"/>
      <c r="C129" s="39" t="s">
        <v>725</v>
      </c>
      <c r="D129" s="39" t="s">
        <v>726</v>
      </c>
      <c r="E129" s="40">
        <v>100</v>
      </c>
      <c r="F129" s="39" t="s">
        <v>93</v>
      </c>
      <c r="G129" s="46">
        <v>24</v>
      </c>
      <c r="H129" s="47">
        <v>0.6</v>
      </c>
      <c r="I129" s="47">
        <v>15.1</v>
      </c>
      <c r="J129" s="47">
        <v>0.02</v>
      </c>
      <c r="K129" s="47">
        <v>0.56</v>
      </c>
      <c r="L129" s="20"/>
      <c r="M129" s="54"/>
      <c r="N129" s="54"/>
      <c r="O129" s="54"/>
      <c r="P129" s="54"/>
      <c r="Q129" s="54"/>
      <c r="R129" s="54"/>
      <c r="S129" s="54"/>
      <c r="T129" s="54"/>
    </row>
    <row r="130" s="4" customFormat="1" ht="24.95" customHeight="1" spans="1:20">
      <c r="A130" s="20">
        <v>124</v>
      </c>
      <c r="B130" s="20"/>
      <c r="C130" s="39" t="s">
        <v>727</v>
      </c>
      <c r="D130" s="39" t="s">
        <v>728</v>
      </c>
      <c r="E130" s="40">
        <v>100</v>
      </c>
      <c r="F130" s="39" t="s">
        <v>93</v>
      </c>
      <c r="G130" s="46">
        <v>12</v>
      </c>
      <c r="H130" s="47">
        <v>0.5</v>
      </c>
      <c r="I130" s="47">
        <v>6.3</v>
      </c>
      <c r="J130" s="47">
        <v>0.02</v>
      </c>
      <c r="K130" s="47">
        <v>0.24</v>
      </c>
      <c r="L130" s="20"/>
      <c r="M130" s="54"/>
      <c r="N130" s="54"/>
      <c r="O130" s="54"/>
      <c r="P130" s="54"/>
      <c r="Q130" s="54"/>
      <c r="R130" s="54"/>
      <c r="S130" s="54"/>
      <c r="T130" s="54"/>
    </row>
    <row r="131" s="4" customFormat="1" ht="24.95" customHeight="1" spans="1:20">
      <c r="A131" s="20">
        <v>125</v>
      </c>
      <c r="B131" s="20"/>
      <c r="C131" s="39" t="s">
        <v>729</v>
      </c>
      <c r="D131" s="39" t="s">
        <v>593</v>
      </c>
      <c r="E131" s="40">
        <v>610</v>
      </c>
      <c r="F131" s="39" t="s">
        <v>93</v>
      </c>
      <c r="G131" s="46">
        <v>2</v>
      </c>
      <c r="H131" s="47">
        <v>15</v>
      </c>
      <c r="I131" s="47">
        <v>30</v>
      </c>
      <c r="J131" s="47">
        <v>0.25</v>
      </c>
      <c r="K131" s="47">
        <v>0.49</v>
      </c>
      <c r="L131" s="20"/>
      <c r="M131" s="54"/>
      <c r="N131" s="54"/>
      <c r="O131" s="54"/>
      <c r="P131" s="54"/>
      <c r="Q131" s="54"/>
      <c r="R131" s="54"/>
      <c r="S131" s="54"/>
      <c r="T131" s="54"/>
    </row>
    <row r="132" s="4" customFormat="1" ht="24.95" customHeight="1" spans="1:20">
      <c r="A132" s="20">
        <v>126</v>
      </c>
      <c r="B132" s="20"/>
      <c r="C132" s="39" t="s">
        <v>730</v>
      </c>
      <c r="D132" s="39" t="s">
        <v>621</v>
      </c>
      <c r="E132" s="40">
        <v>610</v>
      </c>
      <c r="F132" s="39" t="s">
        <v>93</v>
      </c>
      <c r="G132" s="46">
        <v>3</v>
      </c>
      <c r="H132" s="47">
        <v>46.8</v>
      </c>
      <c r="I132" s="47">
        <v>140.3</v>
      </c>
      <c r="J132" s="47">
        <v>0.76</v>
      </c>
      <c r="K132" s="47">
        <v>2.28</v>
      </c>
      <c r="L132" s="20"/>
      <c r="M132" s="54"/>
      <c r="N132" s="54"/>
      <c r="O132" s="54"/>
      <c r="P132" s="54"/>
      <c r="Q132" s="54"/>
      <c r="R132" s="54"/>
      <c r="S132" s="54"/>
      <c r="T132" s="54"/>
    </row>
    <row r="133" s="4" customFormat="1" ht="24.95" customHeight="1" spans="1:20">
      <c r="A133" s="20">
        <v>127</v>
      </c>
      <c r="B133" s="20"/>
      <c r="C133" s="39" t="s">
        <v>731</v>
      </c>
      <c r="D133" s="39" t="s">
        <v>732</v>
      </c>
      <c r="E133" s="40">
        <v>200</v>
      </c>
      <c r="F133" s="39" t="s">
        <v>93</v>
      </c>
      <c r="G133" s="46">
        <v>1</v>
      </c>
      <c r="H133" s="47">
        <v>1.8</v>
      </c>
      <c r="I133" s="47">
        <v>1.8</v>
      </c>
      <c r="J133" s="47">
        <v>0.04</v>
      </c>
      <c r="K133" s="47">
        <v>0.04</v>
      </c>
      <c r="L133" s="20"/>
      <c r="M133" s="54"/>
      <c r="N133" s="54"/>
      <c r="O133" s="54"/>
      <c r="P133" s="54"/>
      <c r="Q133" s="54"/>
      <c r="R133" s="54"/>
      <c r="S133" s="54"/>
      <c r="T133" s="54"/>
    </row>
    <row r="134" s="4" customFormat="1" ht="24.95" customHeight="1" spans="1:20">
      <c r="A134" s="20">
        <v>128</v>
      </c>
      <c r="B134" s="20"/>
      <c r="C134" s="39" t="s">
        <v>733</v>
      </c>
      <c r="D134" s="39" t="s">
        <v>734</v>
      </c>
      <c r="E134" s="40">
        <v>452</v>
      </c>
      <c r="F134" s="39" t="s">
        <v>93</v>
      </c>
      <c r="G134" s="46">
        <v>2</v>
      </c>
      <c r="H134" s="47">
        <v>6</v>
      </c>
      <c r="I134" s="47">
        <v>12.1</v>
      </c>
      <c r="J134" s="47">
        <v>0.14</v>
      </c>
      <c r="K134" s="47">
        <v>0.28</v>
      </c>
      <c r="L134" s="20"/>
      <c r="M134" s="54"/>
      <c r="N134" s="54"/>
      <c r="O134" s="54"/>
      <c r="P134" s="54"/>
      <c r="Q134" s="54"/>
      <c r="R134" s="54"/>
      <c r="S134" s="54"/>
      <c r="T134" s="54"/>
    </row>
    <row r="135" s="4" customFormat="1" ht="24.95" customHeight="1" spans="1:20">
      <c r="A135" s="20">
        <v>129</v>
      </c>
      <c r="B135" s="20"/>
      <c r="C135" s="39" t="s">
        <v>735</v>
      </c>
      <c r="D135" s="39" t="s">
        <v>736</v>
      </c>
      <c r="E135" s="40">
        <v>452</v>
      </c>
      <c r="F135" s="39" t="s">
        <v>93</v>
      </c>
      <c r="G135" s="46">
        <v>2</v>
      </c>
      <c r="H135" s="47">
        <v>22.1</v>
      </c>
      <c r="I135" s="47">
        <v>44.2</v>
      </c>
      <c r="J135" s="47">
        <v>0.42</v>
      </c>
      <c r="K135" s="47">
        <v>0.84</v>
      </c>
      <c r="L135" s="20"/>
      <c r="M135" s="54"/>
      <c r="N135" s="54"/>
      <c r="O135" s="54"/>
      <c r="P135" s="54"/>
      <c r="Q135" s="54"/>
      <c r="R135" s="54"/>
      <c r="S135" s="54"/>
      <c r="T135" s="54"/>
    </row>
    <row r="136" s="4" customFormat="1" ht="24.95" customHeight="1" spans="1:20">
      <c r="A136" s="20">
        <v>130</v>
      </c>
      <c r="B136" s="20"/>
      <c r="C136" s="39" t="s">
        <v>737</v>
      </c>
      <c r="D136" s="39" t="s">
        <v>535</v>
      </c>
      <c r="E136" s="40">
        <v>454.8</v>
      </c>
      <c r="F136" s="39" t="s">
        <v>93</v>
      </c>
      <c r="G136" s="46">
        <v>1</v>
      </c>
      <c r="H136" s="47">
        <v>34.1</v>
      </c>
      <c r="I136" s="47">
        <v>34.1</v>
      </c>
      <c r="J136" s="47">
        <v>0.42</v>
      </c>
      <c r="K136" s="47">
        <v>0.42</v>
      </c>
      <c r="L136" s="20"/>
      <c r="M136" s="54"/>
      <c r="N136" s="54"/>
      <c r="O136" s="54"/>
      <c r="P136" s="54"/>
      <c r="Q136" s="54"/>
      <c r="R136" s="54"/>
      <c r="S136" s="54"/>
      <c r="T136" s="54"/>
    </row>
    <row r="137" s="4" customFormat="1" ht="24.95" customHeight="1" spans="1:20">
      <c r="A137" s="20">
        <v>131</v>
      </c>
      <c r="B137" s="20"/>
      <c r="C137" s="39" t="s">
        <v>738</v>
      </c>
      <c r="D137" s="39" t="s">
        <v>545</v>
      </c>
      <c r="E137" s="40">
        <v>240</v>
      </c>
      <c r="F137" s="39" t="s">
        <v>93</v>
      </c>
      <c r="G137" s="46">
        <v>1</v>
      </c>
      <c r="H137" s="47">
        <v>9</v>
      </c>
      <c r="I137" s="47">
        <v>9</v>
      </c>
      <c r="J137" s="47">
        <v>0.13</v>
      </c>
      <c r="K137" s="47">
        <v>0.13</v>
      </c>
      <c r="L137" s="20"/>
      <c r="M137" s="54"/>
      <c r="N137" s="54"/>
      <c r="O137" s="54"/>
      <c r="P137" s="54"/>
      <c r="Q137" s="54"/>
      <c r="R137" s="54"/>
      <c r="S137" s="54"/>
      <c r="T137" s="54"/>
    </row>
    <row r="138" s="4" customFormat="1" ht="24.95" customHeight="1" spans="1:20">
      <c r="A138" s="20">
        <v>132</v>
      </c>
      <c r="B138" s="20"/>
      <c r="C138" s="39" t="s">
        <v>739</v>
      </c>
      <c r="D138" s="39" t="s">
        <v>740</v>
      </c>
      <c r="E138" s="40">
        <v>452</v>
      </c>
      <c r="F138" s="39" t="s">
        <v>93</v>
      </c>
      <c r="G138" s="46">
        <v>6</v>
      </c>
      <c r="H138" s="47">
        <v>10.1</v>
      </c>
      <c r="I138" s="47">
        <v>60.5</v>
      </c>
      <c r="J138" s="47">
        <v>0.15</v>
      </c>
      <c r="K138" s="47">
        <v>0.91</v>
      </c>
      <c r="L138" s="20"/>
      <c r="M138" s="54"/>
      <c r="N138" s="54"/>
      <c r="O138" s="54"/>
      <c r="P138" s="54"/>
      <c r="Q138" s="54"/>
      <c r="R138" s="54"/>
      <c r="S138" s="54"/>
      <c r="T138" s="54"/>
    </row>
    <row r="139" s="4" customFormat="1" ht="24.95" customHeight="1" spans="1:20">
      <c r="A139" s="20">
        <v>133</v>
      </c>
      <c r="B139" s="20"/>
      <c r="C139" s="39" t="s">
        <v>741</v>
      </c>
      <c r="D139" s="39" t="s">
        <v>529</v>
      </c>
      <c r="E139" s="40">
        <v>477</v>
      </c>
      <c r="F139" s="39" t="s">
        <v>93</v>
      </c>
      <c r="G139" s="46">
        <v>4</v>
      </c>
      <c r="H139" s="47">
        <v>45</v>
      </c>
      <c r="I139" s="47">
        <v>180.2</v>
      </c>
      <c r="J139" s="47">
        <v>0.55</v>
      </c>
      <c r="K139" s="47">
        <v>2.19</v>
      </c>
      <c r="L139" s="20"/>
      <c r="M139" s="54"/>
      <c r="N139" s="54"/>
      <c r="O139" s="54"/>
      <c r="P139" s="54"/>
      <c r="Q139" s="54"/>
      <c r="R139" s="54"/>
      <c r="S139" s="54"/>
      <c r="T139" s="54"/>
    </row>
    <row r="140" s="4" customFormat="1" ht="24.95" customHeight="1" spans="1:20">
      <c r="A140" s="20">
        <v>134</v>
      </c>
      <c r="B140" s="20"/>
      <c r="C140" s="39" t="s">
        <v>742</v>
      </c>
      <c r="D140" s="39" t="s">
        <v>743</v>
      </c>
      <c r="E140" s="40">
        <v>452</v>
      </c>
      <c r="F140" s="39" t="s">
        <v>93</v>
      </c>
      <c r="G140" s="46">
        <v>14</v>
      </c>
      <c r="H140" s="47">
        <v>6.4</v>
      </c>
      <c r="I140" s="47">
        <v>89.2</v>
      </c>
      <c r="J140" s="47">
        <v>0.21</v>
      </c>
      <c r="K140" s="47">
        <v>2.98</v>
      </c>
      <c r="L140" s="20"/>
      <c r="M140" s="54"/>
      <c r="N140" s="54"/>
      <c r="O140" s="54"/>
      <c r="P140" s="54"/>
      <c r="Q140" s="54"/>
      <c r="R140" s="54"/>
      <c r="S140" s="54"/>
      <c r="T140" s="54"/>
    </row>
    <row r="141" s="4" customFormat="1" ht="24.95" customHeight="1" spans="1:20">
      <c r="A141" s="20">
        <v>135</v>
      </c>
      <c r="B141" s="20"/>
      <c r="C141" s="39" t="s">
        <v>744</v>
      </c>
      <c r="D141" s="39" t="s">
        <v>712</v>
      </c>
      <c r="E141" s="40">
        <v>132</v>
      </c>
      <c r="F141" s="39" t="s">
        <v>93</v>
      </c>
      <c r="G141" s="46">
        <v>25</v>
      </c>
      <c r="H141" s="47">
        <v>0.8</v>
      </c>
      <c r="I141" s="47">
        <v>19.9</v>
      </c>
      <c r="J141" s="47">
        <v>0.03</v>
      </c>
      <c r="K141" s="47">
        <v>0.7</v>
      </c>
      <c r="L141" s="20"/>
      <c r="M141" s="54"/>
      <c r="N141" s="54"/>
      <c r="O141" s="54"/>
      <c r="P141" s="54"/>
      <c r="Q141" s="54"/>
      <c r="R141" s="54"/>
      <c r="S141" s="54"/>
      <c r="T141" s="54"/>
    </row>
    <row r="142" s="4" customFormat="1" ht="24.95" customHeight="1" spans="1:20">
      <c r="A142" s="20">
        <v>136</v>
      </c>
      <c r="B142" s="20"/>
      <c r="C142" s="39" t="s">
        <v>745</v>
      </c>
      <c r="D142" s="39" t="s">
        <v>712</v>
      </c>
      <c r="E142" s="40">
        <v>100</v>
      </c>
      <c r="F142" s="39" t="s">
        <v>93</v>
      </c>
      <c r="G142" s="46">
        <v>21</v>
      </c>
      <c r="H142" s="47">
        <v>0.6</v>
      </c>
      <c r="I142" s="47">
        <v>12.7</v>
      </c>
      <c r="J142" s="47">
        <v>0.02</v>
      </c>
      <c r="K142" s="47">
        <v>0.47</v>
      </c>
      <c r="L142" s="20"/>
      <c r="M142" s="54"/>
      <c r="N142" s="54"/>
      <c r="O142" s="54"/>
      <c r="P142" s="54"/>
      <c r="Q142" s="54"/>
      <c r="R142" s="54"/>
      <c r="S142" s="54"/>
      <c r="T142" s="54"/>
    </row>
    <row r="143" s="4" customFormat="1" ht="24.95" customHeight="1" spans="1:20">
      <c r="A143" s="20">
        <v>137</v>
      </c>
      <c r="B143" s="20"/>
      <c r="C143" s="39" t="s">
        <v>746</v>
      </c>
      <c r="D143" s="39" t="s">
        <v>747</v>
      </c>
      <c r="E143" s="40">
        <v>132</v>
      </c>
      <c r="F143" s="39" t="s">
        <v>93</v>
      </c>
      <c r="G143" s="46">
        <v>12</v>
      </c>
      <c r="H143" s="47">
        <v>0.8</v>
      </c>
      <c r="I143" s="47">
        <v>9.4</v>
      </c>
      <c r="J143" s="47">
        <v>0.02</v>
      </c>
      <c r="K143" s="47">
        <v>0.18</v>
      </c>
      <c r="L143" s="20"/>
      <c r="M143" s="54"/>
      <c r="N143" s="54"/>
      <c r="O143" s="54"/>
      <c r="P143" s="54"/>
      <c r="Q143" s="54"/>
      <c r="R143" s="54"/>
      <c r="S143" s="54"/>
      <c r="T143" s="54"/>
    </row>
    <row r="144" s="4" customFormat="1" ht="24.95" customHeight="1" spans="1:20">
      <c r="A144" s="20">
        <v>138</v>
      </c>
      <c r="B144" s="20"/>
      <c r="C144" s="39" t="s">
        <v>748</v>
      </c>
      <c r="D144" s="39" t="s">
        <v>747</v>
      </c>
      <c r="E144" s="40">
        <v>100</v>
      </c>
      <c r="F144" s="39" t="s">
        <v>93</v>
      </c>
      <c r="G144" s="46">
        <v>12</v>
      </c>
      <c r="H144" s="47">
        <v>0.6</v>
      </c>
      <c r="I144" s="47">
        <v>7.1</v>
      </c>
      <c r="J144" s="47">
        <v>0.02</v>
      </c>
      <c r="K144" s="47">
        <v>0.26</v>
      </c>
      <c r="L144" s="20"/>
      <c r="M144" s="54"/>
      <c r="N144" s="54"/>
      <c r="O144" s="54"/>
      <c r="P144" s="54"/>
      <c r="Q144" s="54"/>
      <c r="R144" s="54"/>
      <c r="S144" s="54"/>
      <c r="T144" s="54"/>
    </row>
    <row r="145" s="4" customFormat="1" ht="24.95" customHeight="1" spans="1:20">
      <c r="A145" s="20">
        <v>139</v>
      </c>
      <c r="B145" s="20"/>
      <c r="C145" s="39" t="s">
        <v>749</v>
      </c>
      <c r="D145" s="39" t="s">
        <v>750</v>
      </c>
      <c r="E145" s="40">
        <v>96</v>
      </c>
      <c r="F145" s="39" t="s">
        <v>93</v>
      </c>
      <c r="G145" s="46">
        <v>4</v>
      </c>
      <c r="H145" s="47">
        <v>0.4</v>
      </c>
      <c r="I145" s="47">
        <v>1.5</v>
      </c>
      <c r="J145" s="47">
        <v>0.01</v>
      </c>
      <c r="K145" s="47">
        <v>0.06</v>
      </c>
      <c r="L145" s="20"/>
      <c r="M145" s="54"/>
      <c r="N145" s="54"/>
      <c r="O145" s="54"/>
      <c r="P145" s="54"/>
      <c r="Q145" s="54"/>
      <c r="R145" s="54"/>
      <c r="S145" s="54"/>
      <c r="T145" s="54"/>
    </row>
    <row r="146" s="4" customFormat="1" ht="24.95" customHeight="1" spans="1:20">
      <c r="A146" s="20">
        <v>140</v>
      </c>
      <c r="B146" s="20"/>
      <c r="C146" s="39" t="s">
        <v>751</v>
      </c>
      <c r="D146" s="39" t="s">
        <v>667</v>
      </c>
      <c r="E146" s="40">
        <v>684</v>
      </c>
      <c r="F146" s="39" t="s">
        <v>93</v>
      </c>
      <c r="G146" s="46">
        <v>1</v>
      </c>
      <c r="H146" s="47">
        <v>13.2</v>
      </c>
      <c r="I146" s="47">
        <v>13.2</v>
      </c>
      <c r="J146" s="47">
        <v>0.23</v>
      </c>
      <c r="K146" s="47">
        <v>0.23</v>
      </c>
      <c r="L146" s="20"/>
      <c r="M146" s="54"/>
      <c r="N146" s="54"/>
      <c r="O146" s="54"/>
      <c r="P146" s="54"/>
      <c r="Q146" s="54"/>
      <c r="R146" s="54"/>
      <c r="S146" s="54"/>
      <c r="T146" s="54"/>
    </row>
    <row r="147" s="4" customFormat="1" ht="24.95" customHeight="1" spans="1:20">
      <c r="A147" s="20">
        <v>141</v>
      </c>
      <c r="B147" s="20"/>
      <c r="C147" s="39" t="s">
        <v>752</v>
      </c>
      <c r="D147" s="39" t="s">
        <v>753</v>
      </c>
      <c r="E147" s="40">
        <v>610</v>
      </c>
      <c r="F147" s="39" t="s">
        <v>93</v>
      </c>
      <c r="G147" s="46">
        <v>2</v>
      </c>
      <c r="H147" s="47">
        <v>46.7</v>
      </c>
      <c r="I147" s="47">
        <v>93.4</v>
      </c>
      <c r="J147" s="47">
        <v>0.85</v>
      </c>
      <c r="K147" s="47">
        <v>1.71</v>
      </c>
      <c r="L147" s="20"/>
      <c r="M147" s="54"/>
      <c r="N147" s="54"/>
      <c r="O147" s="54"/>
      <c r="P147" s="54"/>
      <c r="Q147" s="54"/>
      <c r="R147" s="54"/>
      <c r="S147" s="54"/>
      <c r="T147" s="54"/>
    </row>
    <row r="148" s="4" customFormat="1" ht="24.95" customHeight="1" spans="1:20">
      <c r="A148" s="20">
        <v>142</v>
      </c>
      <c r="B148" s="20"/>
      <c r="C148" s="39" t="s">
        <v>754</v>
      </c>
      <c r="D148" s="39" t="s">
        <v>591</v>
      </c>
      <c r="E148" s="40">
        <v>560</v>
      </c>
      <c r="F148" s="39" t="s">
        <v>93</v>
      </c>
      <c r="G148" s="46">
        <v>4</v>
      </c>
      <c r="H148" s="47">
        <v>11.6</v>
      </c>
      <c r="I148" s="47">
        <v>46.4</v>
      </c>
      <c r="J148" s="47">
        <v>0.18</v>
      </c>
      <c r="K148" s="47">
        <v>0.7</v>
      </c>
      <c r="L148" s="20"/>
      <c r="M148" s="54"/>
      <c r="N148" s="54"/>
      <c r="O148" s="54"/>
      <c r="P148" s="54"/>
      <c r="Q148" s="54"/>
      <c r="R148" s="54"/>
      <c r="S148" s="54"/>
      <c r="T148" s="54"/>
    </row>
    <row r="149" s="4" customFormat="1" ht="24.95" customHeight="1" spans="1:20">
      <c r="A149" s="20">
        <v>143</v>
      </c>
      <c r="B149" s="20"/>
      <c r="C149" s="39" t="s">
        <v>755</v>
      </c>
      <c r="D149" s="39" t="s">
        <v>593</v>
      </c>
      <c r="E149" s="40">
        <v>610</v>
      </c>
      <c r="F149" s="39" t="s">
        <v>93</v>
      </c>
      <c r="G149" s="46">
        <v>2</v>
      </c>
      <c r="H149" s="47">
        <v>15</v>
      </c>
      <c r="I149" s="47">
        <v>30</v>
      </c>
      <c r="J149" s="47">
        <v>0.25</v>
      </c>
      <c r="K149" s="47">
        <v>0.49</v>
      </c>
      <c r="L149" s="20"/>
      <c r="M149" s="54"/>
      <c r="N149" s="54"/>
      <c r="O149" s="54"/>
      <c r="P149" s="54"/>
      <c r="Q149" s="54"/>
      <c r="R149" s="54"/>
      <c r="S149" s="54"/>
      <c r="T149" s="54"/>
    </row>
    <row r="150" s="4" customFormat="1" ht="24.95" customHeight="1" spans="1:20">
      <c r="A150" s="20">
        <v>144</v>
      </c>
      <c r="B150" s="20"/>
      <c r="C150" s="39" t="s">
        <v>756</v>
      </c>
      <c r="D150" s="39" t="s">
        <v>757</v>
      </c>
      <c r="E150" s="40">
        <v>280</v>
      </c>
      <c r="F150" s="39" t="s">
        <v>93</v>
      </c>
      <c r="G150" s="46">
        <v>4</v>
      </c>
      <c r="H150" s="47">
        <v>5.9</v>
      </c>
      <c r="I150" s="47">
        <v>23.5</v>
      </c>
      <c r="J150" s="47">
        <v>0.12</v>
      </c>
      <c r="K150" s="47">
        <v>0.47</v>
      </c>
      <c r="L150" s="20"/>
      <c r="M150" s="54"/>
      <c r="N150" s="54"/>
      <c r="O150" s="54"/>
      <c r="P150" s="54"/>
      <c r="Q150" s="54"/>
      <c r="R150" s="54"/>
      <c r="S150" s="54"/>
      <c r="T150" s="54"/>
    </row>
    <row r="151" s="4" customFormat="1" ht="24.95" customHeight="1" spans="1:20">
      <c r="A151" s="20">
        <v>145</v>
      </c>
      <c r="B151" s="20"/>
      <c r="C151" s="39" t="s">
        <v>758</v>
      </c>
      <c r="D151" s="39" t="s">
        <v>759</v>
      </c>
      <c r="E151" s="40">
        <v>185</v>
      </c>
      <c r="F151" s="39" t="s">
        <v>93</v>
      </c>
      <c r="G151" s="46">
        <v>1</v>
      </c>
      <c r="H151" s="47">
        <v>4</v>
      </c>
      <c r="I151" s="47">
        <v>4</v>
      </c>
      <c r="J151" s="47">
        <v>0.1</v>
      </c>
      <c r="K151" s="47">
        <v>0.1</v>
      </c>
      <c r="L151" s="20"/>
      <c r="M151" s="54"/>
      <c r="N151" s="54"/>
      <c r="O151" s="54"/>
      <c r="P151" s="54"/>
      <c r="Q151" s="54"/>
      <c r="R151" s="54"/>
      <c r="S151" s="54"/>
      <c r="T151" s="54"/>
    </row>
    <row r="152" s="4" customFormat="1" ht="24.95" customHeight="1" spans="1:20">
      <c r="A152" s="20">
        <v>146</v>
      </c>
      <c r="B152" s="20"/>
      <c r="C152" s="39" t="s">
        <v>760</v>
      </c>
      <c r="D152" s="39" t="s">
        <v>761</v>
      </c>
      <c r="E152" s="40">
        <v>97</v>
      </c>
      <c r="F152" s="39" t="s">
        <v>93</v>
      </c>
      <c r="G152" s="46">
        <v>1</v>
      </c>
      <c r="H152" s="47">
        <v>0.6</v>
      </c>
      <c r="I152" s="47">
        <v>0.6</v>
      </c>
      <c r="J152" s="47">
        <v>0.02</v>
      </c>
      <c r="K152" s="47">
        <v>0.02</v>
      </c>
      <c r="L152" s="20"/>
      <c r="M152" s="54"/>
      <c r="N152" s="54"/>
      <c r="O152" s="54"/>
      <c r="P152" s="54"/>
      <c r="Q152" s="54"/>
      <c r="R152" s="54"/>
      <c r="S152" s="54"/>
      <c r="T152" s="54"/>
    </row>
    <row r="153" s="4" customFormat="1" ht="24.95" customHeight="1" spans="1:20">
      <c r="A153" s="20">
        <v>147</v>
      </c>
      <c r="B153" s="20"/>
      <c r="C153" s="39" t="s">
        <v>762</v>
      </c>
      <c r="D153" s="39" t="s">
        <v>613</v>
      </c>
      <c r="E153" s="40">
        <v>220</v>
      </c>
      <c r="F153" s="39" t="s">
        <v>93</v>
      </c>
      <c r="G153" s="46">
        <v>2</v>
      </c>
      <c r="H153" s="47">
        <v>1.4</v>
      </c>
      <c r="I153" s="47">
        <v>2.8</v>
      </c>
      <c r="J153" s="47">
        <v>0.04</v>
      </c>
      <c r="K153" s="47">
        <v>0.08</v>
      </c>
      <c r="L153" s="20"/>
      <c r="M153" s="54"/>
      <c r="N153" s="54"/>
      <c r="O153" s="54"/>
      <c r="P153" s="54"/>
      <c r="Q153" s="54"/>
      <c r="R153" s="54"/>
      <c r="S153" s="54"/>
      <c r="T153" s="54"/>
    </row>
    <row r="154" s="4" customFormat="1" ht="24.95" customHeight="1" spans="1:20">
      <c r="A154" s="20">
        <v>148</v>
      </c>
      <c r="B154" s="20"/>
      <c r="C154" s="39" t="s">
        <v>763</v>
      </c>
      <c r="D154" s="39" t="s">
        <v>761</v>
      </c>
      <c r="E154" s="40">
        <v>95</v>
      </c>
      <c r="F154" s="39" t="s">
        <v>93</v>
      </c>
      <c r="G154" s="46">
        <v>50</v>
      </c>
      <c r="H154" s="47">
        <v>0.6</v>
      </c>
      <c r="I154" s="47">
        <v>31.7</v>
      </c>
      <c r="J154" s="47">
        <v>0.02</v>
      </c>
      <c r="K154" s="47">
        <v>0.99</v>
      </c>
      <c r="L154" s="20"/>
      <c r="M154" s="54"/>
      <c r="N154" s="54"/>
      <c r="O154" s="54"/>
      <c r="P154" s="54"/>
      <c r="Q154" s="54"/>
      <c r="R154" s="54"/>
      <c r="S154" s="54"/>
      <c r="T154" s="54"/>
    </row>
    <row r="155" s="4" customFormat="1" ht="24.95" customHeight="1" spans="1:20">
      <c r="A155" s="20">
        <v>149</v>
      </c>
      <c r="B155" s="20"/>
      <c r="C155" s="39" t="s">
        <v>764</v>
      </c>
      <c r="D155" s="39" t="s">
        <v>610</v>
      </c>
      <c r="E155" s="40">
        <v>176.6</v>
      </c>
      <c r="F155" s="39" t="s">
        <v>93</v>
      </c>
      <c r="G155" s="46">
        <v>50</v>
      </c>
      <c r="H155" s="47">
        <v>1.3</v>
      </c>
      <c r="I155" s="47">
        <v>65.8</v>
      </c>
      <c r="J155" s="47">
        <v>0.04</v>
      </c>
      <c r="K155" s="47">
        <v>1.95</v>
      </c>
      <c r="L155" s="20"/>
      <c r="M155" s="54"/>
      <c r="N155" s="54"/>
      <c r="O155" s="54"/>
      <c r="P155" s="54"/>
      <c r="Q155" s="54"/>
      <c r="R155" s="54"/>
      <c r="S155" s="54"/>
      <c r="T155" s="54"/>
    </row>
    <row r="156" s="4" customFormat="1" ht="24.95" customHeight="1" spans="1:20">
      <c r="A156" s="48">
        <v>150</v>
      </c>
      <c r="B156" s="48"/>
      <c r="C156" s="49" t="s">
        <v>765</v>
      </c>
      <c r="D156" s="49" t="s">
        <v>766</v>
      </c>
      <c r="E156" s="50">
        <v>230</v>
      </c>
      <c r="F156" s="49" t="s">
        <v>93</v>
      </c>
      <c r="G156" s="51">
        <v>30</v>
      </c>
      <c r="H156" s="52">
        <v>3.2</v>
      </c>
      <c r="I156" s="52">
        <v>96</v>
      </c>
      <c r="J156" s="52">
        <v>0.09</v>
      </c>
      <c r="K156" s="52">
        <v>2.7</v>
      </c>
      <c r="L156" s="48"/>
      <c r="M156" s="54"/>
      <c r="N156" s="54"/>
      <c r="O156" s="54"/>
      <c r="P156" s="54"/>
      <c r="Q156" s="54"/>
      <c r="R156" s="54"/>
      <c r="S156" s="54"/>
      <c r="T156" s="54"/>
    </row>
    <row r="157" s="4" customFormat="1" ht="24.95" customHeight="1" spans="1:20">
      <c r="A157" s="20">
        <v>151</v>
      </c>
      <c r="B157" s="20"/>
      <c r="C157" s="39" t="s">
        <v>767</v>
      </c>
      <c r="D157" s="39" t="s">
        <v>768</v>
      </c>
      <c r="E157" s="40">
        <v>477</v>
      </c>
      <c r="F157" s="39" t="s">
        <v>93</v>
      </c>
      <c r="G157" s="46">
        <v>46</v>
      </c>
      <c r="H157" s="47">
        <v>18.4</v>
      </c>
      <c r="I157" s="47">
        <v>847.4</v>
      </c>
      <c r="J157" s="47">
        <v>0.41</v>
      </c>
      <c r="K157" s="47">
        <v>18.87</v>
      </c>
      <c r="L157" s="20"/>
      <c r="M157" s="54"/>
      <c r="N157" s="54"/>
      <c r="O157" s="54"/>
      <c r="P157" s="54"/>
      <c r="Q157" s="54"/>
      <c r="R157" s="54"/>
      <c r="S157" s="54"/>
      <c r="T157" s="54"/>
    </row>
    <row r="158" s="4" customFormat="1" ht="24.95" customHeight="1" spans="1:20">
      <c r="A158" s="20">
        <v>152</v>
      </c>
      <c r="B158" s="20"/>
      <c r="C158" s="39" t="s">
        <v>769</v>
      </c>
      <c r="D158" s="39" t="s">
        <v>585</v>
      </c>
      <c r="E158" s="40">
        <v>667</v>
      </c>
      <c r="F158" s="39" t="s">
        <v>93</v>
      </c>
      <c r="G158" s="46">
        <v>25</v>
      </c>
      <c r="H158" s="47">
        <v>14.7</v>
      </c>
      <c r="I158" s="47">
        <v>366.5</v>
      </c>
      <c r="J158" s="47">
        <v>0.37</v>
      </c>
      <c r="K158" s="47">
        <v>9.27</v>
      </c>
      <c r="L158" s="20"/>
      <c r="M158" s="54"/>
      <c r="N158" s="54"/>
      <c r="O158" s="54"/>
      <c r="P158" s="54"/>
      <c r="Q158" s="54"/>
      <c r="R158" s="54"/>
      <c r="S158" s="54"/>
      <c r="T158" s="54"/>
    </row>
    <row r="159" s="4" customFormat="1" ht="24.95" customHeight="1" spans="1:20">
      <c r="A159" s="20">
        <v>153</v>
      </c>
      <c r="B159" s="20"/>
      <c r="C159" s="39" t="s">
        <v>770</v>
      </c>
      <c r="D159" s="39" t="s">
        <v>771</v>
      </c>
      <c r="E159" s="40">
        <v>452</v>
      </c>
      <c r="F159" s="39" t="s">
        <v>93</v>
      </c>
      <c r="G159" s="46">
        <v>44</v>
      </c>
      <c r="H159" s="47">
        <v>5</v>
      </c>
      <c r="I159" s="47">
        <v>221.7</v>
      </c>
      <c r="J159" s="47">
        <v>0.14</v>
      </c>
      <c r="K159" s="47">
        <v>6.13</v>
      </c>
      <c r="L159" s="20"/>
      <c r="M159" s="54"/>
      <c r="N159" s="54"/>
      <c r="O159" s="54"/>
      <c r="P159" s="54"/>
      <c r="Q159" s="54"/>
      <c r="R159" s="54"/>
      <c r="S159" s="54"/>
      <c r="T159" s="54"/>
    </row>
    <row r="160" s="4" customFormat="1" ht="24.95" customHeight="1" spans="1:20">
      <c r="A160" s="20">
        <v>154</v>
      </c>
      <c r="B160" s="20"/>
      <c r="C160" s="39" t="s">
        <v>772</v>
      </c>
      <c r="D160" s="39" t="s">
        <v>773</v>
      </c>
      <c r="E160" s="40">
        <v>452</v>
      </c>
      <c r="F160" s="39" t="s">
        <v>93</v>
      </c>
      <c r="G160" s="46">
        <v>102</v>
      </c>
      <c r="H160" s="47">
        <v>8</v>
      </c>
      <c r="I160" s="47">
        <v>812.5</v>
      </c>
      <c r="J160" s="47">
        <v>0.22</v>
      </c>
      <c r="K160" s="47">
        <v>21.98</v>
      </c>
      <c r="L160" s="20"/>
      <c r="M160" s="54"/>
      <c r="N160" s="54"/>
      <c r="O160" s="54"/>
      <c r="P160" s="54"/>
      <c r="Q160" s="54"/>
      <c r="R160" s="54"/>
      <c r="S160" s="54"/>
      <c r="T160" s="54"/>
    </row>
    <row r="161" s="4" customFormat="1" ht="24.95" customHeight="1" spans="1:20">
      <c r="A161" s="20">
        <v>155</v>
      </c>
      <c r="B161" s="20"/>
      <c r="C161" s="39" t="s">
        <v>774</v>
      </c>
      <c r="D161" s="39" t="s">
        <v>768</v>
      </c>
      <c r="E161" s="40">
        <v>452</v>
      </c>
      <c r="F161" s="39" t="s">
        <v>93</v>
      </c>
      <c r="G161" s="46">
        <v>4</v>
      </c>
      <c r="H161" s="47">
        <v>17.5</v>
      </c>
      <c r="I161" s="47">
        <v>69.8</v>
      </c>
      <c r="J161" s="47">
        <v>0.4</v>
      </c>
      <c r="K161" s="47">
        <v>1.59</v>
      </c>
      <c r="L161" s="20"/>
      <c r="M161" s="54"/>
      <c r="N161" s="54"/>
      <c r="O161" s="54"/>
      <c r="P161" s="54"/>
      <c r="Q161" s="54"/>
      <c r="R161" s="54"/>
      <c r="S161" s="54"/>
      <c r="T161" s="54"/>
    </row>
    <row r="162" s="4" customFormat="1" ht="24.95" customHeight="1" spans="1:20">
      <c r="A162" s="20">
        <v>156</v>
      </c>
      <c r="B162" s="20"/>
      <c r="C162" s="39" t="s">
        <v>775</v>
      </c>
      <c r="D162" s="39" t="s">
        <v>776</v>
      </c>
      <c r="E162" s="40">
        <v>65.6</v>
      </c>
      <c r="F162" s="39" t="s">
        <v>93</v>
      </c>
      <c r="G162" s="46">
        <v>2</v>
      </c>
      <c r="H162" s="47">
        <v>0.2</v>
      </c>
      <c r="I162" s="47">
        <v>0.5</v>
      </c>
      <c r="J162" s="47">
        <v>0.01</v>
      </c>
      <c r="K162" s="47">
        <v>0.02</v>
      </c>
      <c r="L162" s="20"/>
      <c r="M162" s="54"/>
      <c r="N162" s="54"/>
      <c r="O162" s="54"/>
      <c r="P162" s="54"/>
      <c r="Q162" s="54"/>
      <c r="R162" s="54"/>
      <c r="S162" s="54"/>
      <c r="T162" s="54"/>
    </row>
    <row r="163" s="4" customFormat="1" ht="24.95" customHeight="1" spans="1:20">
      <c r="A163" s="20">
        <v>157</v>
      </c>
      <c r="B163" s="20"/>
      <c r="C163" s="39" t="s">
        <v>777</v>
      </c>
      <c r="D163" s="39" t="s">
        <v>651</v>
      </c>
      <c r="E163" s="40">
        <v>809</v>
      </c>
      <c r="F163" s="39" t="s">
        <v>93</v>
      </c>
      <c r="G163" s="46">
        <v>35</v>
      </c>
      <c r="H163" s="47">
        <v>3.8</v>
      </c>
      <c r="I163" s="47">
        <v>133.4</v>
      </c>
      <c r="J163" s="47">
        <v>0.17</v>
      </c>
      <c r="K163" s="47">
        <v>6.04</v>
      </c>
      <c r="L163" s="20"/>
      <c r="M163" s="54"/>
      <c r="N163" s="54"/>
      <c r="O163" s="54"/>
      <c r="P163" s="54"/>
      <c r="Q163" s="54"/>
      <c r="R163" s="54"/>
      <c r="S163" s="54"/>
      <c r="T163" s="54"/>
    </row>
    <row r="164" s="4" customFormat="1" ht="24.95" customHeight="1" spans="1:20">
      <c r="A164" s="20">
        <v>158</v>
      </c>
      <c r="B164" s="20"/>
      <c r="C164" s="39" t="s">
        <v>778</v>
      </c>
      <c r="D164" s="39" t="s">
        <v>651</v>
      </c>
      <c r="E164" s="40">
        <v>534</v>
      </c>
      <c r="F164" s="39" t="s">
        <v>93</v>
      </c>
      <c r="G164" s="46">
        <v>7</v>
      </c>
      <c r="H164" s="47">
        <v>2.5</v>
      </c>
      <c r="I164" s="47">
        <v>17.6</v>
      </c>
      <c r="J164" s="47">
        <v>0.11</v>
      </c>
      <c r="K164" s="47">
        <v>0.8</v>
      </c>
      <c r="L164" s="20"/>
      <c r="M164" s="54"/>
      <c r="N164" s="54"/>
      <c r="O164" s="54"/>
      <c r="P164" s="54"/>
      <c r="Q164" s="54"/>
      <c r="R164" s="54"/>
      <c r="S164" s="54"/>
      <c r="T164" s="54"/>
    </row>
    <row r="165" s="4" customFormat="1" ht="24.95" customHeight="1" spans="1:20">
      <c r="A165" s="20">
        <v>159</v>
      </c>
      <c r="B165" s="20"/>
      <c r="C165" s="39" t="s">
        <v>779</v>
      </c>
      <c r="D165" s="39" t="s">
        <v>651</v>
      </c>
      <c r="E165" s="40">
        <v>671.5</v>
      </c>
      <c r="F165" s="39" t="s">
        <v>93</v>
      </c>
      <c r="G165" s="46">
        <v>14</v>
      </c>
      <c r="H165" s="47">
        <v>3.2</v>
      </c>
      <c r="I165" s="47">
        <v>44.3</v>
      </c>
      <c r="J165" s="47">
        <v>0.14</v>
      </c>
      <c r="K165" s="47">
        <v>2.01</v>
      </c>
      <c r="L165" s="20"/>
      <c r="M165" s="54"/>
      <c r="N165" s="54"/>
      <c r="O165" s="54"/>
      <c r="P165" s="54"/>
      <c r="Q165" s="54"/>
      <c r="R165" s="54"/>
      <c r="S165" s="54"/>
      <c r="T165" s="54"/>
    </row>
    <row r="166" s="4" customFormat="1" ht="24.95" customHeight="1" spans="1:20">
      <c r="A166" s="20">
        <v>160</v>
      </c>
      <c r="B166" s="20"/>
      <c r="C166" s="39" t="s">
        <v>780</v>
      </c>
      <c r="D166" s="39" t="s">
        <v>651</v>
      </c>
      <c r="E166" s="40">
        <v>506.5</v>
      </c>
      <c r="F166" s="39" t="s">
        <v>93</v>
      </c>
      <c r="G166" s="46">
        <v>7</v>
      </c>
      <c r="H166" s="47">
        <v>2.4</v>
      </c>
      <c r="I166" s="47">
        <v>16.7</v>
      </c>
      <c r="J166" s="47">
        <v>0.11</v>
      </c>
      <c r="K166" s="47">
        <v>0.76</v>
      </c>
      <c r="L166" s="20"/>
      <c r="M166" s="54"/>
      <c r="N166" s="54"/>
      <c r="O166" s="54"/>
      <c r="P166" s="54"/>
      <c r="Q166" s="54"/>
      <c r="R166" s="54"/>
      <c r="S166" s="54"/>
      <c r="T166" s="54"/>
    </row>
    <row r="167" s="4" customFormat="1" ht="24.95" customHeight="1" spans="1:20">
      <c r="A167" s="20">
        <v>161</v>
      </c>
      <c r="B167" s="20"/>
      <c r="C167" s="39" t="s">
        <v>781</v>
      </c>
      <c r="D167" s="39" t="s">
        <v>651</v>
      </c>
      <c r="E167" s="40">
        <v>1090</v>
      </c>
      <c r="F167" s="39" t="s">
        <v>93</v>
      </c>
      <c r="G167" s="46">
        <v>11</v>
      </c>
      <c r="H167" s="47">
        <v>5.1</v>
      </c>
      <c r="I167" s="47">
        <v>56.5</v>
      </c>
      <c r="J167" s="47">
        <v>0.23</v>
      </c>
      <c r="K167" s="47">
        <v>2.56</v>
      </c>
      <c r="L167" s="20"/>
      <c r="M167" s="54"/>
      <c r="N167" s="54"/>
      <c r="O167" s="54"/>
      <c r="P167" s="54"/>
      <c r="Q167" s="54"/>
      <c r="R167" s="54"/>
      <c r="S167" s="54"/>
      <c r="T167" s="54"/>
    </row>
    <row r="168" s="4" customFormat="1" ht="24.95" customHeight="1" spans="1:20">
      <c r="A168" s="20">
        <v>162</v>
      </c>
      <c r="B168" s="20"/>
      <c r="C168" s="39" t="s">
        <v>782</v>
      </c>
      <c r="D168" s="39" t="s">
        <v>651</v>
      </c>
      <c r="E168" s="40">
        <v>678</v>
      </c>
      <c r="F168" s="39" t="s">
        <v>93</v>
      </c>
      <c r="G168" s="46">
        <v>1</v>
      </c>
      <c r="H168" s="47">
        <v>3.2</v>
      </c>
      <c r="I168" s="47">
        <v>3.2</v>
      </c>
      <c r="J168" s="47">
        <v>0.14</v>
      </c>
      <c r="K168" s="47">
        <v>0.14</v>
      </c>
      <c r="L168" s="20"/>
      <c r="M168" s="54"/>
      <c r="N168" s="54"/>
      <c r="O168" s="54"/>
      <c r="P168" s="54"/>
      <c r="Q168" s="54"/>
      <c r="R168" s="54"/>
      <c r="S168" s="54"/>
      <c r="T168" s="54"/>
    </row>
    <row r="169" s="4" customFormat="1" ht="24.95" customHeight="1" spans="1:20">
      <c r="A169" s="20">
        <v>163</v>
      </c>
      <c r="B169" s="20"/>
      <c r="C169" s="39" t="s">
        <v>783</v>
      </c>
      <c r="D169" s="39" t="s">
        <v>651</v>
      </c>
      <c r="E169" s="40">
        <v>1225</v>
      </c>
      <c r="F169" s="39" t="s">
        <v>93</v>
      </c>
      <c r="G169" s="46">
        <v>11</v>
      </c>
      <c r="H169" s="47">
        <v>5.8</v>
      </c>
      <c r="I169" s="47">
        <v>63.5</v>
      </c>
      <c r="J169" s="47">
        <v>0.26</v>
      </c>
      <c r="K169" s="47">
        <v>2.87</v>
      </c>
      <c r="L169" s="20"/>
      <c r="M169" s="54"/>
      <c r="N169" s="54"/>
      <c r="O169" s="54"/>
      <c r="P169" s="54"/>
      <c r="Q169" s="54"/>
      <c r="R169" s="54"/>
      <c r="S169" s="54"/>
      <c r="T169" s="54"/>
    </row>
    <row r="170" s="4" customFormat="1" ht="24.95" customHeight="1" spans="1:20">
      <c r="A170" s="20">
        <v>164</v>
      </c>
      <c r="B170" s="20"/>
      <c r="C170" s="39" t="s">
        <v>784</v>
      </c>
      <c r="D170" s="39" t="s">
        <v>651</v>
      </c>
      <c r="E170" s="40">
        <v>813</v>
      </c>
      <c r="F170" s="39" t="s">
        <v>93</v>
      </c>
      <c r="G170" s="46">
        <v>1</v>
      </c>
      <c r="H170" s="47">
        <v>3.8</v>
      </c>
      <c r="I170" s="47">
        <v>3.8</v>
      </c>
      <c r="J170" s="47">
        <v>0.17</v>
      </c>
      <c r="K170" s="47">
        <v>0.17</v>
      </c>
      <c r="L170" s="20"/>
      <c r="M170" s="54"/>
      <c r="N170" s="54"/>
      <c r="O170" s="54"/>
      <c r="P170" s="54"/>
      <c r="Q170" s="54"/>
      <c r="R170" s="54"/>
      <c r="S170" s="54"/>
      <c r="T170" s="54"/>
    </row>
    <row r="171" s="4" customFormat="1" ht="24.95" customHeight="1" spans="1:20">
      <c r="A171" s="20">
        <v>165</v>
      </c>
      <c r="B171" s="20"/>
      <c r="C171" s="39" t="s">
        <v>785</v>
      </c>
      <c r="D171" s="39" t="s">
        <v>651</v>
      </c>
      <c r="E171" s="40">
        <v>1495</v>
      </c>
      <c r="F171" s="39" t="s">
        <v>93</v>
      </c>
      <c r="G171" s="46">
        <v>44</v>
      </c>
      <c r="H171" s="47">
        <v>7</v>
      </c>
      <c r="I171" s="47">
        <v>309.8</v>
      </c>
      <c r="J171" s="47">
        <v>0.32</v>
      </c>
      <c r="K171" s="47">
        <v>14</v>
      </c>
      <c r="L171" s="20"/>
      <c r="M171" s="54"/>
      <c r="N171" s="54"/>
      <c r="O171" s="54"/>
      <c r="P171" s="54"/>
      <c r="Q171" s="54"/>
      <c r="R171" s="54"/>
      <c r="S171" s="54"/>
      <c r="T171" s="54"/>
    </row>
    <row r="172" s="4" customFormat="1" ht="24.95" customHeight="1" spans="1:20">
      <c r="A172" s="20">
        <v>166</v>
      </c>
      <c r="B172" s="20"/>
      <c r="C172" s="39" t="s">
        <v>786</v>
      </c>
      <c r="D172" s="39" t="s">
        <v>651</v>
      </c>
      <c r="E172" s="40">
        <v>1083</v>
      </c>
      <c r="F172" s="39" t="s">
        <v>93</v>
      </c>
      <c r="G172" s="46">
        <v>4</v>
      </c>
      <c r="H172" s="47">
        <v>5.1</v>
      </c>
      <c r="I172" s="47">
        <v>20.4</v>
      </c>
      <c r="J172" s="47">
        <v>0.23</v>
      </c>
      <c r="K172" s="47">
        <v>0.92</v>
      </c>
      <c r="L172" s="20"/>
      <c r="M172" s="54"/>
      <c r="N172" s="54"/>
      <c r="O172" s="54"/>
      <c r="P172" s="54"/>
      <c r="Q172" s="54"/>
      <c r="R172" s="54"/>
      <c r="S172" s="54"/>
      <c r="T172" s="54"/>
    </row>
    <row r="173" s="4" customFormat="1" ht="24.95" customHeight="1" spans="1:20">
      <c r="A173" s="20">
        <v>167</v>
      </c>
      <c r="B173" s="20"/>
      <c r="C173" s="39" t="s">
        <v>787</v>
      </c>
      <c r="D173" s="39" t="s">
        <v>788</v>
      </c>
      <c r="E173" s="40">
        <v>805</v>
      </c>
      <c r="F173" s="39" t="s">
        <v>93</v>
      </c>
      <c r="G173" s="46">
        <v>3</v>
      </c>
      <c r="H173" s="47">
        <v>15.2</v>
      </c>
      <c r="I173" s="47">
        <v>45.5</v>
      </c>
      <c r="J173" s="47">
        <v>0.66</v>
      </c>
      <c r="K173" s="47">
        <v>1.98</v>
      </c>
      <c r="L173" s="20"/>
      <c r="M173" s="54"/>
      <c r="N173" s="54"/>
      <c r="O173" s="54"/>
      <c r="P173" s="54"/>
      <c r="Q173" s="54"/>
      <c r="R173" s="54"/>
      <c r="S173" s="54"/>
      <c r="T173" s="54"/>
    </row>
    <row r="174" s="4" customFormat="1" ht="24.95" customHeight="1" spans="1:20">
      <c r="A174" s="20">
        <v>168</v>
      </c>
      <c r="B174" s="20"/>
      <c r="C174" s="39" t="s">
        <v>422</v>
      </c>
      <c r="D174" s="39" t="s">
        <v>423</v>
      </c>
      <c r="E174" s="40">
        <v>70</v>
      </c>
      <c r="F174" s="39" t="s">
        <v>93</v>
      </c>
      <c r="G174" s="46">
        <v>576</v>
      </c>
      <c r="H174" s="47">
        <v>0.8</v>
      </c>
      <c r="I174" s="47">
        <v>443.1</v>
      </c>
      <c r="J174" s="47">
        <v>0.02</v>
      </c>
      <c r="K174" s="47">
        <v>8.87</v>
      </c>
      <c r="L174" s="55" t="s">
        <v>789</v>
      </c>
      <c r="M174" s="54"/>
      <c r="N174" s="54"/>
      <c r="O174" s="54"/>
      <c r="P174" s="54"/>
      <c r="Q174" s="54"/>
      <c r="R174" s="54"/>
      <c r="S174" s="54"/>
      <c r="T174" s="54"/>
    </row>
    <row r="175" s="4" customFormat="1" ht="24.95" customHeight="1" spans="1:20">
      <c r="A175" s="20">
        <v>169</v>
      </c>
      <c r="B175" s="20"/>
      <c r="C175" s="39" t="s">
        <v>425</v>
      </c>
      <c r="D175" s="39" t="s">
        <v>426</v>
      </c>
      <c r="E175" s="40">
        <v>385</v>
      </c>
      <c r="F175" s="39" t="s">
        <v>93</v>
      </c>
      <c r="G175" s="46">
        <v>112</v>
      </c>
      <c r="H175" s="47">
        <v>3.3</v>
      </c>
      <c r="I175" s="47">
        <v>365.6</v>
      </c>
      <c r="J175" s="47">
        <v>0.08</v>
      </c>
      <c r="K175" s="47">
        <v>9.04</v>
      </c>
      <c r="L175" s="56"/>
      <c r="M175" s="54"/>
      <c r="N175" s="54"/>
      <c r="O175" s="54"/>
      <c r="P175" s="54"/>
      <c r="Q175" s="54"/>
      <c r="R175" s="54"/>
      <c r="S175" s="54"/>
      <c r="T175" s="54"/>
    </row>
    <row r="176" s="4" customFormat="1" ht="24.95" customHeight="1" spans="1:20">
      <c r="A176" s="20">
        <v>170</v>
      </c>
      <c r="B176" s="20"/>
      <c r="C176" s="39" t="s">
        <v>427</v>
      </c>
      <c r="D176" s="39" t="s">
        <v>428</v>
      </c>
      <c r="E176" s="40">
        <v>885</v>
      </c>
      <c r="F176" s="39" t="s">
        <v>93</v>
      </c>
      <c r="G176" s="46">
        <v>24</v>
      </c>
      <c r="H176" s="47">
        <v>38.5</v>
      </c>
      <c r="I176" s="47">
        <v>923</v>
      </c>
      <c r="J176" s="47">
        <v>0.65</v>
      </c>
      <c r="K176" s="47">
        <v>15.64</v>
      </c>
      <c r="L176" s="56"/>
      <c r="M176" s="54"/>
      <c r="N176" s="54"/>
      <c r="O176" s="54"/>
      <c r="P176" s="54"/>
      <c r="Q176" s="54"/>
      <c r="R176" s="54"/>
      <c r="S176" s="54"/>
      <c r="T176" s="54"/>
    </row>
    <row r="177" s="4" customFormat="1" ht="24.95" customHeight="1" spans="1:20">
      <c r="A177" s="20">
        <v>171</v>
      </c>
      <c r="B177" s="20"/>
      <c r="C177" s="39" t="s">
        <v>429</v>
      </c>
      <c r="D177" s="39" t="s">
        <v>428</v>
      </c>
      <c r="E177" s="40">
        <v>885</v>
      </c>
      <c r="F177" s="39" t="s">
        <v>93</v>
      </c>
      <c r="G177" s="46">
        <v>10</v>
      </c>
      <c r="H177" s="47">
        <v>38.5</v>
      </c>
      <c r="I177" s="47">
        <v>384.6</v>
      </c>
      <c r="J177" s="47">
        <v>0.65</v>
      </c>
      <c r="K177" s="47">
        <v>6.52</v>
      </c>
      <c r="L177" s="56"/>
      <c r="M177" s="54"/>
      <c r="N177" s="54"/>
      <c r="O177" s="54"/>
      <c r="P177" s="54"/>
      <c r="Q177" s="54"/>
      <c r="R177" s="54"/>
      <c r="S177" s="54"/>
      <c r="T177" s="54"/>
    </row>
    <row r="178" s="4" customFormat="1" ht="24.95" customHeight="1" spans="1:20">
      <c r="A178" s="20">
        <v>172</v>
      </c>
      <c r="B178" s="20"/>
      <c r="C178" s="39" t="s">
        <v>430</v>
      </c>
      <c r="D178" s="39" t="s">
        <v>431</v>
      </c>
      <c r="E178" s="40">
        <v>255</v>
      </c>
      <c r="F178" s="39" t="s">
        <v>93</v>
      </c>
      <c r="G178" s="46">
        <v>390</v>
      </c>
      <c r="H178" s="47">
        <v>0.4</v>
      </c>
      <c r="I178" s="47">
        <v>140.5</v>
      </c>
      <c r="J178" s="47">
        <v>0.02</v>
      </c>
      <c r="K178" s="47">
        <v>7.3</v>
      </c>
      <c r="L178" s="56"/>
      <c r="M178" s="54"/>
      <c r="N178" s="54"/>
      <c r="O178" s="54"/>
      <c r="P178" s="54"/>
      <c r="Q178" s="54"/>
      <c r="R178" s="54"/>
      <c r="S178" s="54"/>
      <c r="T178" s="54"/>
    </row>
    <row r="179" s="4" customFormat="1" ht="24.95" customHeight="1" spans="1:20">
      <c r="A179" s="20">
        <v>173</v>
      </c>
      <c r="B179" s="20"/>
      <c r="C179" s="39" t="s">
        <v>432</v>
      </c>
      <c r="D179" s="39" t="s">
        <v>431</v>
      </c>
      <c r="E179" s="40">
        <v>290</v>
      </c>
      <c r="F179" s="39" t="s">
        <v>93</v>
      </c>
      <c r="G179" s="46">
        <v>130</v>
      </c>
      <c r="H179" s="47">
        <v>0.4</v>
      </c>
      <c r="I179" s="47">
        <v>53.3</v>
      </c>
      <c r="J179" s="47">
        <v>0.02</v>
      </c>
      <c r="K179" s="47">
        <v>2.76</v>
      </c>
      <c r="L179" s="56"/>
      <c r="M179" s="54"/>
      <c r="N179" s="54"/>
      <c r="O179" s="54"/>
      <c r="P179" s="54"/>
      <c r="Q179" s="54"/>
      <c r="R179" s="54"/>
      <c r="S179" s="54"/>
      <c r="T179" s="54"/>
    </row>
    <row r="180" s="4" customFormat="1" ht="24.95" customHeight="1" spans="1:20">
      <c r="A180" s="20">
        <v>174</v>
      </c>
      <c r="B180" s="20"/>
      <c r="C180" s="39" t="s">
        <v>433</v>
      </c>
      <c r="D180" s="39" t="s">
        <v>431</v>
      </c>
      <c r="E180" s="40">
        <v>238</v>
      </c>
      <c r="F180" s="39" t="s">
        <v>93</v>
      </c>
      <c r="G180" s="46">
        <v>72</v>
      </c>
      <c r="H180" s="47">
        <v>0.3</v>
      </c>
      <c r="I180" s="47">
        <v>24.2</v>
      </c>
      <c r="J180" s="47">
        <v>0.02</v>
      </c>
      <c r="K180" s="47">
        <v>1.26</v>
      </c>
      <c r="L180" s="56"/>
      <c r="M180" s="54"/>
      <c r="N180" s="54"/>
      <c r="O180" s="54"/>
      <c r="P180" s="54"/>
      <c r="Q180" s="54"/>
      <c r="R180" s="54"/>
      <c r="S180" s="54"/>
      <c r="T180" s="54"/>
    </row>
    <row r="181" s="4" customFormat="1" ht="24.95" customHeight="1" spans="1:20">
      <c r="A181" s="20">
        <v>175</v>
      </c>
      <c r="B181" s="20"/>
      <c r="C181" s="39" t="s">
        <v>434</v>
      </c>
      <c r="D181" s="39" t="s">
        <v>431</v>
      </c>
      <c r="E181" s="40">
        <v>270</v>
      </c>
      <c r="F181" s="39" t="s">
        <v>93</v>
      </c>
      <c r="G181" s="46">
        <v>168</v>
      </c>
      <c r="H181" s="47">
        <v>0.4</v>
      </c>
      <c r="I181" s="47">
        <v>64.1</v>
      </c>
      <c r="J181" s="47">
        <v>0.02</v>
      </c>
      <c r="K181" s="47">
        <v>3.33</v>
      </c>
      <c r="L181" s="56"/>
      <c r="M181" s="54"/>
      <c r="N181" s="54"/>
      <c r="O181" s="54"/>
      <c r="P181" s="54"/>
      <c r="Q181" s="54"/>
      <c r="R181" s="54"/>
      <c r="S181" s="54"/>
      <c r="T181" s="54"/>
    </row>
    <row r="182" s="4" customFormat="1" ht="24.95" customHeight="1" spans="1:20">
      <c r="A182" s="20">
        <v>176</v>
      </c>
      <c r="B182" s="20"/>
      <c r="C182" s="39" t="s">
        <v>435</v>
      </c>
      <c r="D182" s="39" t="s">
        <v>436</v>
      </c>
      <c r="E182" s="40">
        <v>665</v>
      </c>
      <c r="F182" s="39" t="s">
        <v>93</v>
      </c>
      <c r="G182" s="46">
        <v>136</v>
      </c>
      <c r="H182" s="47">
        <v>7.5</v>
      </c>
      <c r="I182" s="47">
        <v>1022.3</v>
      </c>
      <c r="J182" s="47">
        <v>0.14</v>
      </c>
      <c r="K182" s="47">
        <v>19.56</v>
      </c>
      <c r="L182" s="56"/>
      <c r="M182" s="54"/>
      <c r="N182" s="54"/>
      <c r="O182" s="54"/>
      <c r="P182" s="54"/>
      <c r="Q182" s="54"/>
      <c r="R182" s="54"/>
      <c r="S182" s="54"/>
      <c r="T182" s="54"/>
    </row>
    <row r="183" s="4" customFormat="1" ht="24.95" customHeight="1" spans="1:20">
      <c r="A183" s="20">
        <v>177</v>
      </c>
      <c r="B183" s="20"/>
      <c r="C183" s="39" t="s">
        <v>437</v>
      </c>
      <c r="D183" s="39" t="s">
        <v>431</v>
      </c>
      <c r="E183" s="40">
        <v>305</v>
      </c>
      <c r="F183" s="39" t="s">
        <v>93</v>
      </c>
      <c r="G183" s="46">
        <v>96</v>
      </c>
      <c r="H183" s="47">
        <v>0.4</v>
      </c>
      <c r="I183" s="47">
        <v>41.4</v>
      </c>
      <c r="J183" s="47">
        <v>0.02</v>
      </c>
      <c r="K183" s="47">
        <v>2.14</v>
      </c>
      <c r="L183" s="56"/>
      <c r="M183" s="54"/>
      <c r="N183" s="54"/>
      <c r="O183" s="54"/>
      <c r="P183" s="54"/>
      <c r="Q183" s="54"/>
      <c r="R183" s="54"/>
      <c r="S183" s="54"/>
      <c r="T183" s="54"/>
    </row>
    <row r="184" s="4" customFormat="1" ht="24.95" customHeight="1" spans="1:20">
      <c r="A184" s="20">
        <v>178</v>
      </c>
      <c r="B184" s="20"/>
      <c r="C184" s="39" t="s">
        <v>438</v>
      </c>
      <c r="D184" s="39" t="s">
        <v>431</v>
      </c>
      <c r="E184" s="40">
        <v>220</v>
      </c>
      <c r="F184" s="39" t="s">
        <v>93</v>
      </c>
      <c r="G184" s="46">
        <v>312</v>
      </c>
      <c r="H184" s="47">
        <v>0.3</v>
      </c>
      <c r="I184" s="47">
        <v>97</v>
      </c>
      <c r="J184" s="47">
        <v>0.02</v>
      </c>
      <c r="K184" s="47">
        <v>5.05</v>
      </c>
      <c r="L184" s="56"/>
      <c r="M184" s="54"/>
      <c r="N184" s="54"/>
      <c r="O184" s="54"/>
      <c r="P184" s="54"/>
      <c r="Q184" s="54"/>
      <c r="R184" s="54"/>
      <c r="S184" s="54"/>
      <c r="T184" s="54"/>
    </row>
    <row r="185" s="4" customFormat="1" ht="24.95" customHeight="1" spans="1:20">
      <c r="A185" s="20">
        <v>179</v>
      </c>
      <c r="B185" s="20"/>
      <c r="C185" s="39" t="s">
        <v>439</v>
      </c>
      <c r="D185" s="39" t="s">
        <v>431</v>
      </c>
      <c r="E185" s="40">
        <v>320</v>
      </c>
      <c r="F185" s="39" t="s">
        <v>93</v>
      </c>
      <c r="G185" s="46">
        <v>242</v>
      </c>
      <c r="H185" s="47">
        <v>0.5</v>
      </c>
      <c r="I185" s="47">
        <v>109.4</v>
      </c>
      <c r="J185" s="47">
        <v>0.02</v>
      </c>
      <c r="K185" s="47">
        <v>5.66</v>
      </c>
      <c r="L185" s="56"/>
      <c r="M185" s="54"/>
      <c r="N185" s="54"/>
      <c r="O185" s="54"/>
      <c r="P185" s="54"/>
      <c r="Q185" s="54"/>
      <c r="R185" s="54"/>
      <c r="S185" s="54"/>
      <c r="T185" s="54"/>
    </row>
    <row r="186" s="4" customFormat="1" ht="24.95" customHeight="1" spans="1:20">
      <c r="A186" s="20">
        <v>180</v>
      </c>
      <c r="B186" s="20"/>
      <c r="C186" s="39" t="s">
        <v>440</v>
      </c>
      <c r="D186" s="39" t="s">
        <v>431</v>
      </c>
      <c r="E186" s="40">
        <v>390</v>
      </c>
      <c r="F186" s="39" t="s">
        <v>93</v>
      </c>
      <c r="G186" s="46">
        <v>128</v>
      </c>
      <c r="H186" s="47">
        <v>0.6</v>
      </c>
      <c r="I186" s="47">
        <v>70.5</v>
      </c>
      <c r="J186" s="47">
        <v>0.03</v>
      </c>
      <c r="K186" s="47">
        <v>3.64</v>
      </c>
      <c r="L186" s="56"/>
      <c r="M186" s="54"/>
      <c r="N186" s="54"/>
      <c r="O186" s="54"/>
      <c r="P186" s="54"/>
      <c r="Q186" s="54"/>
      <c r="R186" s="54"/>
      <c r="S186" s="54"/>
      <c r="T186" s="54"/>
    </row>
    <row r="187" s="4" customFormat="1" ht="24.95" customHeight="1" spans="1:20">
      <c r="A187" s="20">
        <v>181</v>
      </c>
      <c r="B187" s="20"/>
      <c r="C187" s="39" t="s">
        <v>441</v>
      </c>
      <c r="D187" s="39" t="s">
        <v>431</v>
      </c>
      <c r="E187" s="40">
        <v>355</v>
      </c>
      <c r="F187" s="39" t="s">
        <v>93</v>
      </c>
      <c r="G187" s="46">
        <v>68</v>
      </c>
      <c r="H187" s="47">
        <v>0.5</v>
      </c>
      <c r="I187" s="47">
        <v>34.1</v>
      </c>
      <c r="J187" s="47">
        <v>0.03</v>
      </c>
      <c r="K187" s="47">
        <v>1.76</v>
      </c>
      <c r="L187" s="56"/>
      <c r="M187" s="54"/>
      <c r="N187" s="54"/>
      <c r="O187" s="54"/>
      <c r="P187" s="54"/>
      <c r="Q187" s="54"/>
      <c r="R187" s="54"/>
      <c r="S187" s="54"/>
      <c r="T187" s="54"/>
    </row>
    <row r="188" s="4" customFormat="1" ht="24.95" customHeight="1" spans="1:20">
      <c r="A188" s="20">
        <v>182</v>
      </c>
      <c r="B188" s="20"/>
      <c r="C188" s="39" t="s">
        <v>442</v>
      </c>
      <c r="D188" s="39" t="s">
        <v>443</v>
      </c>
      <c r="E188" s="40">
        <v>370</v>
      </c>
      <c r="F188" s="39" t="s">
        <v>93</v>
      </c>
      <c r="G188" s="46">
        <v>24</v>
      </c>
      <c r="H188" s="47">
        <v>13.2</v>
      </c>
      <c r="I188" s="47">
        <v>317.2</v>
      </c>
      <c r="J188" s="47">
        <v>0.26</v>
      </c>
      <c r="K188" s="47">
        <v>6.24</v>
      </c>
      <c r="L188" s="56"/>
      <c r="M188" s="54"/>
      <c r="N188" s="54"/>
      <c r="O188" s="54"/>
      <c r="P188" s="54"/>
      <c r="Q188" s="54"/>
      <c r="R188" s="54"/>
      <c r="S188" s="54"/>
      <c r="T188" s="54"/>
    </row>
    <row r="189" s="4" customFormat="1" ht="24.95" customHeight="1" spans="1:20">
      <c r="A189" s="20">
        <v>183</v>
      </c>
      <c r="B189" s="20"/>
      <c r="C189" s="39" t="s">
        <v>444</v>
      </c>
      <c r="D189" s="39" t="s">
        <v>445</v>
      </c>
      <c r="E189" s="40">
        <v>70</v>
      </c>
      <c r="F189" s="39" t="s">
        <v>93</v>
      </c>
      <c r="G189" s="46">
        <v>208</v>
      </c>
      <c r="H189" s="47">
        <v>0.5</v>
      </c>
      <c r="I189" s="47">
        <v>112</v>
      </c>
      <c r="J189" s="47">
        <v>0.01</v>
      </c>
      <c r="K189" s="47">
        <v>2.85</v>
      </c>
      <c r="L189" s="56"/>
      <c r="M189" s="54"/>
      <c r="N189" s="54"/>
      <c r="O189" s="54"/>
      <c r="P189" s="54"/>
      <c r="Q189" s="54"/>
      <c r="R189" s="54"/>
      <c r="S189" s="54"/>
      <c r="T189" s="54"/>
    </row>
    <row r="190" s="4" customFormat="1" ht="24.95" customHeight="1" spans="1:20">
      <c r="A190" s="20">
        <v>184</v>
      </c>
      <c r="B190" s="20"/>
      <c r="C190" s="39" t="s">
        <v>446</v>
      </c>
      <c r="D190" s="39" t="s">
        <v>447</v>
      </c>
      <c r="E190" s="40">
        <v>325</v>
      </c>
      <c r="F190" s="39" t="s">
        <v>93</v>
      </c>
      <c r="G190" s="46">
        <v>56</v>
      </c>
      <c r="H190" s="47">
        <v>2.9</v>
      </c>
      <c r="I190" s="47">
        <v>160</v>
      </c>
      <c r="J190" s="47">
        <v>0.1</v>
      </c>
      <c r="K190" s="47">
        <v>5.51</v>
      </c>
      <c r="L190" s="56"/>
      <c r="M190" s="54"/>
      <c r="N190" s="54"/>
      <c r="O190" s="54"/>
      <c r="P190" s="54"/>
      <c r="Q190" s="54"/>
      <c r="R190" s="54"/>
      <c r="S190" s="54"/>
      <c r="T190" s="54"/>
    </row>
    <row r="191" s="4" customFormat="1" ht="24.95" customHeight="1" spans="1:20">
      <c r="A191" s="20">
        <v>185</v>
      </c>
      <c r="B191" s="20"/>
      <c r="C191" s="39" t="s">
        <v>448</v>
      </c>
      <c r="D191" s="39" t="s">
        <v>449</v>
      </c>
      <c r="E191" s="40">
        <v>385</v>
      </c>
      <c r="F191" s="39" t="s">
        <v>93</v>
      </c>
      <c r="G191" s="46">
        <v>56</v>
      </c>
      <c r="H191" s="47">
        <v>4.6</v>
      </c>
      <c r="I191" s="47">
        <v>257.3</v>
      </c>
      <c r="J191" s="47">
        <v>0.16</v>
      </c>
      <c r="K191" s="47">
        <v>8.71</v>
      </c>
      <c r="L191" s="56"/>
      <c r="M191" s="54"/>
      <c r="N191" s="54"/>
      <c r="O191" s="54"/>
      <c r="P191" s="54"/>
      <c r="Q191" s="54"/>
      <c r="R191" s="54"/>
      <c r="S191" s="54"/>
      <c r="T191" s="54"/>
    </row>
    <row r="192" s="4" customFormat="1" ht="24.95" customHeight="1" spans="1:20">
      <c r="A192" s="20">
        <v>186</v>
      </c>
      <c r="B192" s="20"/>
      <c r="C192" s="39" t="s">
        <v>450</v>
      </c>
      <c r="D192" s="39" t="s">
        <v>431</v>
      </c>
      <c r="E192" s="40">
        <v>220</v>
      </c>
      <c r="F192" s="39" t="s">
        <v>93</v>
      </c>
      <c r="G192" s="46">
        <v>52</v>
      </c>
      <c r="H192" s="47">
        <v>0.3</v>
      </c>
      <c r="I192" s="47">
        <v>16.2</v>
      </c>
      <c r="J192" s="47">
        <v>0.02</v>
      </c>
      <c r="K192" s="47">
        <v>0.84</v>
      </c>
      <c r="L192" s="56"/>
      <c r="M192" s="54"/>
      <c r="N192" s="54"/>
      <c r="O192" s="54"/>
      <c r="P192" s="54"/>
      <c r="Q192" s="54"/>
      <c r="R192" s="54"/>
      <c r="S192" s="54"/>
      <c r="T192" s="54"/>
    </row>
    <row r="193" s="4" customFormat="1" ht="24.95" customHeight="1" spans="1:20">
      <c r="A193" s="20">
        <v>187</v>
      </c>
      <c r="B193" s="20"/>
      <c r="C193" s="39" t="s">
        <v>451</v>
      </c>
      <c r="D193" s="39" t="s">
        <v>431</v>
      </c>
      <c r="E193" s="40">
        <v>485</v>
      </c>
      <c r="F193" s="39" t="s">
        <v>93</v>
      </c>
      <c r="G193" s="46">
        <v>32</v>
      </c>
      <c r="H193" s="47">
        <v>0.7</v>
      </c>
      <c r="I193" s="47">
        <v>21.9</v>
      </c>
      <c r="J193" s="47">
        <v>0.04</v>
      </c>
      <c r="K193" s="47">
        <v>1.13</v>
      </c>
      <c r="L193" s="56"/>
      <c r="M193" s="54"/>
      <c r="N193" s="54"/>
      <c r="O193" s="54"/>
      <c r="P193" s="54"/>
      <c r="Q193" s="54"/>
      <c r="R193" s="54"/>
      <c r="S193" s="54"/>
      <c r="T193" s="54"/>
    </row>
    <row r="194" s="4" customFormat="1" ht="24.95" customHeight="1" spans="1:20">
      <c r="A194" s="20">
        <v>188</v>
      </c>
      <c r="B194" s="20"/>
      <c r="C194" s="39" t="s">
        <v>452</v>
      </c>
      <c r="D194" s="39" t="s">
        <v>431</v>
      </c>
      <c r="E194" s="40">
        <v>440</v>
      </c>
      <c r="F194" s="39" t="s">
        <v>93</v>
      </c>
      <c r="G194" s="46">
        <v>5</v>
      </c>
      <c r="H194" s="47">
        <v>0.6</v>
      </c>
      <c r="I194" s="47">
        <v>3.1</v>
      </c>
      <c r="J194" s="47">
        <v>0.03</v>
      </c>
      <c r="K194" s="47">
        <v>0.16</v>
      </c>
      <c r="L194" s="56"/>
      <c r="M194" s="54"/>
      <c r="N194" s="54"/>
      <c r="O194" s="54"/>
      <c r="P194" s="54"/>
      <c r="Q194" s="54"/>
      <c r="R194" s="54"/>
      <c r="S194" s="54"/>
      <c r="T194" s="54"/>
    </row>
    <row r="195" s="4" customFormat="1" ht="24.95" customHeight="1" spans="1:20">
      <c r="A195" s="20">
        <v>189</v>
      </c>
      <c r="B195" s="20"/>
      <c r="C195" s="39" t="s">
        <v>453</v>
      </c>
      <c r="D195" s="39" t="s">
        <v>431</v>
      </c>
      <c r="E195" s="40">
        <v>320</v>
      </c>
      <c r="F195" s="39" t="s">
        <v>93</v>
      </c>
      <c r="G195" s="46">
        <v>2</v>
      </c>
      <c r="H195" s="47">
        <v>0.5</v>
      </c>
      <c r="I195" s="47">
        <v>0.9</v>
      </c>
      <c r="J195" s="47">
        <v>0.02</v>
      </c>
      <c r="K195" s="47">
        <v>0.05</v>
      </c>
      <c r="L195" s="56"/>
      <c r="M195" s="54"/>
      <c r="N195" s="54"/>
      <c r="O195" s="54"/>
      <c r="P195" s="54"/>
      <c r="Q195" s="54"/>
      <c r="R195" s="54"/>
      <c r="S195" s="54"/>
      <c r="T195" s="54"/>
    </row>
    <row r="196" s="4" customFormat="1" ht="24.95" customHeight="1" spans="1:20">
      <c r="A196" s="48">
        <v>190</v>
      </c>
      <c r="B196" s="48"/>
      <c r="C196" s="49" t="s">
        <v>454</v>
      </c>
      <c r="D196" s="49" t="s">
        <v>431</v>
      </c>
      <c r="E196" s="50">
        <v>235</v>
      </c>
      <c r="F196" s="49" t="s">
        <v>93</v>
      </c>
      <c r="G196" s="51">
        <v>106</v>
      </c>
      <c r="H196" s="52">
        <v>0.3</v>
      </c>
      <c r="I196" s="52">
        <v>31.8</v>
      </c>
      <c r="J196" s="52">
        <v>0.02</v>
      </c>
      <c r="K196" s="52">
        <v>2.12</v>
      </c>
      <c r="L196" s="56"/>
      <c r="M196" s="54"/>
      <c r="N196" s="54"/>
      <c r="O196" s="54"/>
      <c r="P196" s="54"/>
      <c r="Q196" s="54"/>
      <c r="R196" s="54"/>
      <c r="S196" s="54"/>
      <c r="T196" s="54"/>
    </row>
    <row r="197" s="4" customFormat="1" ht="24.95" customHeight="1" spans="1:20">
      <c r="A197" s="20">
        <v>191</v>
      </c>
      <c r="B197" s="20"/>
      <c r="C197" s="39" t="s">
        <v>455</v>
      </c>
      <c r="D197" s="39" t="s">
        <v>431</v>
      </c>
      <c r="E197" s="40">
        <v>270</v>
      </c>
      <c r="F197" s="39" t="s">
        <v>93</v>
      </c>
      <c r="G197" s="46">
        <v>4</v>
      </c>
      <c r="H197" s="47">
        <v>0.4</v>
      </c>
      <c r="I197" s="47">
        <v>1.5</v>
      </c>
      <c r="J197" s="47">
        <v>0.02</v>
      </c>
      <c r="K197" s="47">
        <v>0.08</v>
      </c>
      <c r="L197" s="56"/>
      <c r="M197" s="54"/>
      <c r="N197" s="54"/>
      <c r="O197" s="54"/>
      <c r="P197" s="54"/>
      <c r="Q197" s="54"/>
      <c r="R197" s="54"/>
      <c r="S197" s="54"/>
      <c r="T197" s="54"/>
    </row>
    <row r="198" s="4" customFormat="1" ht="24.95" customHeight="1" spans="1:20">
      <c r="A198" s="20">
        <v>192</v>
      </c>
      <c r="B198" s="20"/>
      <c r="C198" s="39" t="s">
        <v>456</v>
      </c>
      <c r="D198" s="39" t="s">
        <v>431</v>
      </c>
      <c r="E198" s="40">
        <v>200</v>
      </c>
      <c r="F198" s="39" t="s">
        <v>93</v>
      </c>
      <c r="G198" s="46">
        <v>2</v>
      </c>
      <c r="H198" s="47">
        <v>0.3</v>
      </c>
      <c r="I198" s="47">
        <v>0.6</v>
      </c>
      <c r="J198" s="47">
        <v>0.01</v>
      </c>
      <c r="K198" s="47">
        <v>0.03</v>
      </c>
      <c r="L198" s="57"/>
      <c r="M198" s="54"/>
      <c r="N198" s="54"/>
      <c r="O198" s="54"/>
      <c r="P198" s="54"/>
      <c r="Q198" s="54"/>
      <c r="R198" s="54"/>
      <c r="S198" s="54"/>
      <c r="T198" s="54"/>
    </row>
    <row r="199" s="4" customFormat="1" ht="24.95" customHeight="1" spans="1:20">
      <c r="A199" s="20">
        <v>193</v>
      </c>
      <c r="B199" s="20"/>
      <c r="C199" s="39" t="s">
        <v>790</v>
      </c>
      <c r="D199" s="39" t="s">
        <v>791</v>
      </c>
      <c r="E199" s="40">
        <v>420</v>
      </c>
      <c r="F199" s="39" t="s">
        <v>373</v>
      </c>
      <c r="G199" s="46">
        <v>110</v>
      </c>
      <c r="H199" s="47">
        <v>15.7</v>
      </c>
      <c r="I199" s="47">
        <v>1722.7</v>
      </c>
      <c r="J199" s="47">
        <v>0.81</v>
      </c>
      <c r="K199" s="47">
        <v>89.29</v>
      </c>
      <c r="L199" s="55" t="s">
        <v>792</v>
      </c>
      <c r="M199" s="54"/>
      <c r="N199" s="54"/>
      <c r="O199" s="54"/>
      <c r="P199" s="54"/>
      <c r="Q199" s="54"/>
      <c r="R199" s="54"/>
      <c r="S199" s="54"/>
      <c r="T199" s="54"/>
    </row>
    <row r="200" s="4" customFormat="1" ht="24.95" customHeight="1" spans="1:20">
      <c r="A200" s="20">
        <v>194</v>
      </c>
      <c r="B200" s="20"/>
      <c r="C200" s="39" t="s">
        <v>793</v>
      </c>
      <c r="D200" s="39" t="s">
        <v>791</v>
      </c>
      <c r="E200" s="40">
        <v>415</v>
      </c>
      <c r="F200" s="39" t="s">
        <v>373</v>
      </c>
      <c r="G200" s="46">
        <v>136</v>
      </c>
      <c r="H200" s="47">
        <v>15.5</v>
      </c>
      <c r="I200" s="47">
        <v>2104.5</v>
      </c>
      <c r="J200" s="47">
        <v>0.8</v>
      </c>
      <c r="K200" s="47">
        <v>109.09</v>
      </c>
      <c r="L200" s="56"/>
      <c r="M200" s="54"/>
      <c r="N200" s="54"/>
      <c r="O200" s="54"/>
      <c r="P200" s="54"/>
      <c r="Q200" s="54"/>
      <c r="R200" s="54"/>
      <c r="S200" s="54"/>
      <c r="T200" s="54"/>
    </row>
    <row r="201" s="4" customFormat="1" ht="24.95" customHeight="1" spans="1:20">
      <c r="A201" s="20">
        <v>195</v>
      </c>
      <c r="B201" s="20"/>
      <c r="C201" s="39" t="s">
        <v>794</v>
      </c>
      <c r="D201" s="39" t="s">
        <v>791</v>
      </c>
      <c r="E201" s="40">
        <v>385</v>
      </c>
      <c r="F201" s="39" t="s">
        <v>373</v>
      </c>
      <c r="G201" s="46">
        <v>2</v>
      </c>
      <c r="H201" s="47">
        <v>14.4</v>
      </c>
      <c r="I201" s="47">
        <v>28.7</v>
      </c>
      <c r="J201" s="47">
        <v>0.74</v>
      </c>
      <c r="K201" s="47">
        <v>1.49</v>
      </c>
      <c r="L201" s="56"/>
      <c r="M201" s="54"/>
      <c r="N201" s="54"/>
      <c r="O201" s="54"/>
      <c r="P201" s="54"/>
      <c r="Q201" s="54"/>
      <c r="R201" s="54"/>
      <c r="S201" s="54"/>
      <c r="T201" s="54"/>
    </row>
    <row r="202" s="4" customFormat="1" ht="24.95" customHeight="1" spans="1:20">
      <c r="A202" s="20">
        <v>196</v>
      </c>
      <c r="B202" s="20"/>
      <c r="C202" s="39" t="s">
        <v>795</v>
      </c>
      <c r="D202" s="39" t="s">
        <v>791</v>
      </c>
      <c r="E202" s="40">
        <v>405</v>
      </c>
      <c r="F202" s="39" t="s">
        <v>373</v>
      </c>
      <c r="G202" s="46">
        <v>8</v>
      </c>
      <c r="H202" s="47">
        <v>15.1</v>
      </c>
      <c r="I202" s="47">
        <v>120.8</v>
      </c>
      <c r="J202" s="47">
        <v>0.78</v>
      </c>
      <c r="K202" s="47">
        <v>6.26</v>
      </c>
      <c r="L202" s="56"/>
      <c r="M202" s="54"/>
      <c r="N202" s="54"/>
      <c r="O202" s="54"/>
      <c r="P202" s="54"/>
      <c r="Q202" s="54"/>
      <c r="R202" s="54"/>
      <c r="S202" s="54"/>
      <c r="T202" s="54"/>
    </row>
    <row r="203" s="4" customFormat="1" ht="24.95" customHeight="1" spans="1:20">
      <c r="A203" s="20">
        <v>197</v>
      </c>
      <c r="B203" s="20"/>
      <c r="C203" s="39" t="s">
        <v>796</v>
      </c>
      <c r="D203" s="39" t="s">
        <v>791</v>
      </c>
      <c r="E203" s="40">
        <v>405</v>
      </c>
      <c r="F203" s="39" t="s">
        <v>373</v>
      </c>
      <c r="G203" s="46">
        <v>2</v>
      </c>
      <c r="H203" s="47">
        <v>15.1</v>
      </c>
      <c r="I203" s="47">
        <v>30.2</v>
      </c>
      <c r="J203" s="47">
        <v>0.78</v>
      </c>
      <c r="K203" s="47">
        <v>1.57</v>
      </c>
      <c r="L203" s="56"/>
      <c r="M203" s="54"/>
      <c r="N203" s="54"/>
      <c r="O203" s="54"/>
      <c r="P203" s="54"/>
      <c r="Q203" s="54"/>
      <c r="R203" s="54"/>
      <c r="S203" s="54"/>
      <c r="T203" s="54"/>
    </row>
    <row r="204" s="4" customFormat="1" ht="24.95" customHeight="1" spans="1:20">
      <c r="A204" s="20">
        <v>198</v>
      </c>
      <c r="B204" s="20"/>
      <c r="C204" s="39" t="s">
        <v>797</v>
      </c>
      <c r="D204" s="39" t="s">
        <v>791</v>
      </c>
      <c r="E204" s="40">
        <v>390</v>
      </c>
      <c r="F204" s="39" t="s">
        <v>373</v>
      </c>
      <c r="G204" s="46">
        <v>96</v>
      </c>
      <c r="H204" s="47">
        <v>14.5</v>
      </c>
      <c r="I204" s="47">
        <v>1396</v>
      </c>
      <c r="J204" s="47">
        <v>0.75</v>
      </c>
      <c r="K204" s="47">
        <v>72.42</v>
      </c>
      <c r="L204" s="56"/>
      <c r="M204" s="54"/>
      <c r="N204" s="54"/>
      <c r="O204" s="54"/>
      <c r="P204" s="54"/>
      <c r="Q204" s="54"/>
      <c r="R204" s="54"/>
      <c r="S204" s="54"/>
      <c r="T204" s="54"/>
    </row>
    <row r="205" s="4" customFormat="1" ht="24.95" customHeight="1" spans="1:20">
      <c r="A205" s="20">
        <v>199</v>
      </c>
      <c r="B205" s="20"/>
      <c r="C205" s="39" t="s">
        <v>798</v>
      </c>
      <c r="D205" s="39" t="s">
        <v>791</v>
      </c>
      <c r="E205" s="40">
        <v>370</v>
      </c>
      <c r="F205" s="39" t="s">
        <v>373</v>
      </c>
      <c r="G205" s="46">
        <v>3</v>
      </c>
      <c r="H205" s="47">
        <v>13.8</v>
      </c>
      <c r="I205" s="47">
        <v>41.4</v>
      </c>
      <c r="J205" s="47">
        <v>0.72</v>
      </c>
      <c r="K205" s="47">
        <v>2.15</v>
      </c>
      <c r="L205" s="56"/>
      <c r="M205" s="54"/>
      <c r="N205" s="54"/>
      <c r="O205" s="54"/>
      <c r="P205" s="54"/>
      <c r="Q205" s="54"/>
      <c r="R205" s="54"/>
      <c r="S205" s="54"/>
      <c r="T205" s="54"/>
    </row>
    <row r="206" s="4" customFormat="1" ht="24.95" customHeight="1" spans="1:20">
      <c r="A206" s="20">
        <v>200</v>
      </c>
      <c r="B206" s="20"/>
      <c r="C206" s="39" t="s">
        <v>799</v>
      </c>
      <c r="D206" s="39" t="s">
        <v>791</v>
      </c>
      <c r="E206" s="40">
        <v>377.9</v>
      </c>
      <c r="F206" s="39" t="s">
        <v>373</v>
      </c>
      <c r="G206" s="46">
        <v>9</v>
      </c>
      <c r="H206" s="47">
        <v>14.1</v>
      </c>
      <c r="I206" s="47">
        <v>126.8</v>
      </c>
      <c r="J206" s="47">
        <v>0.73</v>
      </c>
      <c r="K206" s="47">
        <v>6.58</v>
      </c>
      <c r="L206" s="56"/>
      <c r="M206" s="54"/>
      <c r="N206" s="54"/>
      <c r="O206" s="54"/>
      <c r="P206" s="54"/>
      <c r="Q206" s="54"/>
      <c r="R206" s="54"/>
      <c r="S206" s="54"/>
      <c r="T206" s="54"/>
    </row>
    <row r="207" s="4" customFormat="1" ht="24.95" customHeight="1" spans="1:20">
      <c r="A207" s="20">
        <v>201</v>
      </c>
      <c r="B207" s="20"/>
      <c r="C207" s="39" t="s">
        <v>800</v>
      </c>
      <c r="D207" s="39" t="s">
        <v>801</v>
      </c>
      <c r="E207" s="40">
        <v>390</v>
      </c>
      <c r="F207" s="39" t="s">
        <v>373</v>
      </c>
      <c r="G207" s="46">
        <v>12</v>
      </c>
      <c r="H207" s="47">
        <v>16.1</v>
      </c>
      <c r="I207" s="47">
        <v>192.9</v>
      </c>
      <c r="J207" s="47">
        <v>0.83</v>
      </c>
      <c r="K207" s="47">
        <v>10</v>
      </c>
      <c r="L207" s="56"/>
      <c r="M207" s="54"/>
      <c r="N207" s="54"/>
      <c r="O207" s="54"/>
      <c r="P207" s="54"/>
      <c r="Q207" s="54"/>
      <c r="R207" s="54"/>
      <c r="S207" s="54"/>
      <c r="T207" s="54"/>
    </row>
    <row r="208" s="4" customFormat="1" ht="24.95" customHeight="1" spans="1:20">
      <c r="A208" s="20">
        <v>202</v>
      </c>
      <c r="B208" s="20"/>
      <c r="C208" s="39" t="s">
        <v>802</v>
      </c>
      <c r="D208" s="39" t="s">
        <v>791</v>
      </c>
      <c r="E208" s="40">
        <v>335.7</v>
      </c>
      <c r="F208" s="39" t="s">
        <v>373</v>
      </c>
      <c r="G208" s="46">
        <v>1</v>
      </c>
      <c r="H208" s="47">
        <v>12.5</v>
      </c>
      <c r="I208" s="47">
        <v>12.5</v>
      </c>
      <c r="J208" s="47">
        <v>0.65</v>
      </c>
      <c r="K208" s="47">
        <v>0.65</v>
      </c>
      <c r="L208" s="56"/>
      <c r="M208" s="54"/>
      <c r="N208" s="54"/>
      <c r="O208" s="54"/>
      <c r="P208" s="54"/>
      <c r="Q208" s="54"/>
      <c r="R208" s="54"/>
      <c r="S208" s="54"/>
      <c r="T208" s="54"/>
    </row>
    <row r="209" s="4" customFormat="1" ht="24.95" customHeight="1" spans="1:20">
      <c r="A209" s="20">
        <v>203</v>
      </c>
      <c r="B209" s="20"/>
      <c r="C209" s="39" t="s">
        <v>803</v>
      </c>
      <c r="D209" s="39" t="s">
        <v>791</v>
      </c>
      <c r="E209" s="40">
        <v>330</v>
      </c>
      <c r="F209" s="39" t="s">
        <v>373</v>
      </c>
      <c r="G209" s="46">
        <v>1</v>
      </c>
      <c r="H209" s="47">
        <v>12.3</v>
      </c>
      <c r="I209" s="47">
        <v>12.3</v>
      </c>
      <c r="J209" s="47">
        <v>0.64</v>
      </c>
      <c r="K209" s="47">
        <v>0.64</v>
      </c>
      <c r="L209" s="56"/>
      <c r="M209" s="54"/>
      <c r="N209" s="54"/>
      <c r="O209" s="54"/>
      <c r="P209" s="54"/>
      <c r="Q209" s="54"/>
      <c r="R209" s="54"/>
      <c r="S209" s="54"/>
      <c r="T209" s="54"/>
    </row>
    <row r="210" s="4" customFormat="1" ht="24.95" customHeight="1" spans="1:20">
      <c r="A210" s="20">
        <v>204</v>
      </c>
      <c r="B210" s="20"/>
      <c r="C210" s="39" t="s">
        <v>804</v>
      </c>
      <c r="D210" s="39" t="s">
        <v>791</v>
      </c>
      <c r="E210" s="40">
        <v>345</v>
      </c>
      <c r="F210" s="39" t="s">
        <v>373</v>
      </c>
      <c r="G210" s="46">
        <v>6</v>
      </c>
      <c r="H210" s="47">
        <v>12.9</v>
      </c>
      <c r="I210" s="47">
        <v>77.2</v>
      </c>
      <c r="J210" s="47">
        <v>0.67</v>
      </c>
      <c r="K210" s="47">
        <v>4.01</v>
      </c>
      <c r="L210" s="56"/>
      <c r="M210" s="54"/>
      <c r="N210" s="54"/>
      <c r="O210" s="54"/>
      <c r="P210" s="54"/>
      <c r="Q210" s="54"/>
      <c r="R210" s="54"/>
      <c r="S210" s="54"/>
      <c r="T210" s="54"/>
    </row>
    <row r="211" s="4" customFormat="1" ht="24.95" customHeight="1" spans="1:20">
      <c r="A211" s="20">
        <v>205</v>
      </c>
      <c r="B211" s="20"/>
      <c r="C211" s="39" t="s">
        <v>805</v>
      </c>
      <c r="D211" s="39" t="s">
        <v>791</v>
      </c>
      <c r="E211" s="40">
        <v>261.9</v>
      </c>
      <c r="F211" s="39" t="s">
        <v>373</v>
      </c>
      <c r="G211" s="46">
        <v>1</v>
      </c>
      <c r="H211" s="47">
        <v>9.8</v>
      </c>
      <c r="I211" s="47">
        <v>9.8</v>
      </c>
      <c r="J211" s="47">
        <v>0.51</v>
      </c>
      <c r="K211" s="47">
        <v>0.51</v>
      </c>
      <c r="L211" s="56"/>
      <c r="M211" s="54"/>
      <c r="N211" s="54"/>
      <c r="O211" s="54"/>
      <c r="P211" s="54"/>
      <c r="Q211" s="54"/>
      <c r="R211" s="54"/>
      <c r="S211" s="54"/>
      <c r="T211" s="54"/>
    </row>
    <row r="212" s="4" customFormat="1" ht="24.95" customHeight="1" spans="1:20">
      <c r="A212" s="20">
        <v>206</v>
      </c>
      <c r="B212" s="20"/>
      <c r="C212" s="39" t="s">
        <v>806</v>
      </c>
      <c r="D212" s="39" t="s">
        <v>791</v>
      </c>
      <c r="E212" s="40">
        <v>360</v>
      </c>
      <c r="F212" s="39" t="s">
        <v>373</v>
      </c>
      <c r="G212" s="46">
        <v>1</v>
      </c>
      <c r="H212" s="47">
        <v>13.4</v>
      </c>
      <c r="I212" s="47">
        <v>13.4</v>
      </c>
      <c r="J212" s="47">
        <v>0.7</v>
      </c>
      <c r="K212" s="47">
        <v>0.7</v>
      </c>
      <c r="L212" s="56"/>
      <c r="M212" s="54"/>
      <c r="N212" s="54"/>
      <c r="O212" s="54"/>
      <c r="P212" s="54"/>
      <c r="Q212" s="54"/>
      <c r="R212" s="54"/>
      <c r="S212" s="54"/>
      <c r="T212" s="54"/>
    </row>
    <row r="213" s="4" customFormat="1" ht="24.95" customHeight="1" spans="1:20">
      <c r="A213" s="20">
        <v>207</v>
      </c>
      <c r="B213" s="20"/>
      <c r="C213" s="39" t="s">
        <v>807</v>
      </c>
      <c r="D213" s="39" t="s">
        <v>791</v>
      </c>
      <c r="E213" s="40">
        <v>365</v>
      </c>
      <c r="F213" s="39" t="s">
        <v>373</v>
      </c>
      <c r="G213" s="46">
        <v>1</v>
      </c>
      <c r="H213" s="47">
        <v>13.6</v>
      </c>
      <c r="I213" s="47">
        <v>13.6</v>
      </c>
      <c r="J213" s="47">
        <v>0.71</v>
      </c>
      <c r="K213" s="47">
        <v>0.71</v>
      </c>
      <c r="L213" s="57"/>
      <c r="M213" s="54"/>
      <c r="N213" s="54"/>
      <c r="O213" s="54"/>
      <c r="P213" s="54"/>
      <c r="Q213" s="54"/>
      <c r="R213" s="54"/>
      <c r="S213" s="54"/>
      <c r="T213" s="54"/>
    </row>
    <row r="214" s="31" customFormat="1" ht="24.95" customHeight="1" spans="1:20">
      <c r="A214" s="26"/>
      <c r="B214" s="42"/>
      <c r="C214" s="26"/>
      <c r="D214" s="26"/>
      <c r="E214" s="27"/>
      <c r="F214" s="26" t="s">
        <v>522</v>
      </c>
      <c r="G214" s="28">
        <f>SUM(G7:G213)</f>
        <v>11778</v>
      </c>
      <c r="H214" s="29"/>
      <c r="I214" s="29">
        <f>SUM(I7:I213)</f>
        <v>95700.4</v>
      </c>
      <c r="J214" s="29" t="s">
        <v>24</v>
      </c>
      <c r="K214" s="29">
        <f>SUM(K7:K213)</f>
        <v>1955.37</v>
      </c>
      <c r="L214" s="26"/>
      <c r="M214" s="30" t="s">
        <v>523</v>
      </c>
      <c r="N214" s="58"/>
      <c r="O214" s="58"/>
      <c r="P214" s="58"/>
      <c r="Q214" s="58"/>
      <c r="R214" s="58"/>
      <c r="S214" s="58"/>
      <c r="T214" s="58"/>
    </row>
  </sheetData>
  <autoFilter xmlns:etc="http://www.wps.cn/officeDocument/2017/etCustomData" ref="C6:L214" etc:filterBottomFollowUsedRange="0">
    <extLst/>
  </autoFilter>
  <mergeCells count="219">
    <mergeCell ref="A1:L1"/>
    <mergeCell ref="A2:G2"/>
    <mergeCell ref="H2:L2"/>
    <mergeCell ref="A3:B3"/>
    <mergeCell ref="C3:L3"/>
    <mergeCell ref="A4:B4"/>
    <mergeCell ref="C4:L4"/>
    <mergeCell ref="A5:B5"/>
    <mergeCell ref="C5:L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L174:L198"/>
    <mergeCell ref="L199:L213"/>
  </mergeCells>
  <conditionalFormatting sqref="C196">
    <cfRule type="duplicateValues" dxfId="0" priority="1"/>
  </conditionalFormatting>
  <conditionalFormatting sqref="C7:C195 C197:C213">
    <cfRule type="duplicateValues" dxfId="0" priority="16"/>
  </conditionalFormatting>
  <printOptions horizontalCentered="1"/>
  <pageMargins left="0.590551181102362" right="0.196850393700787" top="0.393700787401575" bottom="0.393700787401575" header="0.511811023622047" footer="0.15748031496063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indexed="10"/>
  </sheetPr>
  <dimension ref="A1:L104"/>
  <sheetViews>
    <sheetView view="pageBreakPreview" zoomScale="55" zoomScaleNormal="100" workbookViewId="0">
      <pane ySplit="6" topLeftCell="A94" activePane="bottomLeft" state="frozen"/>
      <selection/>
      <selection pane="bottomLeft" activeCell="R16" sqref="R16"/>
    </sheetView>
  </sheetViews>
  <sheetFormatPr defaultColWidth="9" defaultRowHeight="14.25"/>
  <cols>
    <col min="1" max="1" width="5.625" style="5" customWidth="1"/>
    <col min="2" max="2" width="15.625" style="6" customWidth="1"/>
    <col min="3" max="3" width="35.625" style="5" customWidth="1"/>
    <col min="4" max="4" width="25.625" style="5" customWidth="1"/>
    <col min="5" max="5" width="12.625" style="32" customWidth="1"/>
    <col min="6" max="6" width="12.625" style="5" customWidth="1"/>
    <col min="7" max="7" width="12.625" style="33" customWidth="1"/>
    <col min="8" max="8" width="12.625" style="34" customWidth="1"/>
    <col min="9" max="9" width="17.625" style="11" customWidth="1"/>
    <col min="10" max="10" width="15.625" style="35" customWidth="1"/>
    <col min="11" max="16384" width="9" style="12"/>
  </cols>
  <sheetData>
    <row r="1" ht="30" customHeight="1" spans="1:10">
      <c r="A1" s="13" t="s">
        <v>0</v>
      </c>
      <c r="B1" s="13"/>
      <c r="C1" s="13"/>
      <c r="D1" s="13"/>
      <c r="E1" s="13"/>
      <c r="F1" s="13"/>
      <c r="G1" s="13"/>
      <c r="H1" s="14"/>
      <c r="I1" s="13"/>
      <c r="J1" s="13"/>
    </row>
    <row r="2" ht="50.1" customHeight="1" spans="1:10">
      <c r="A2" s="36"/>
      <c r="B2" s="15" t="str">
        <f>清单封面!E18</f>
        <v>组立清单</v>
      </c>
      <c r="C2" s="15"/>
      <c r="D2" s="15"/>
      <c r="E2" s="15"/>
      <c r="F2" s="16" t="str">
        <f>清单封面!F18</f>
        <v>(仅型钢翼、腹板)</v>
      </c>
      <c r="G2" s="16"/>
      <c r="H2" s="16"/>
      <c r="I2" s="16"/>
      <c r="J2" s="16"/>
    </row>
    <row r="3" s="1" customFormat="1" ht="24.95" customHeight="1" spans="1:10">
      <c r="A3" s="3"/>
      <c r="B3" s="3"/>
      <c r="C3" s="37"/>
      <c r="D3" s="37"/>
      <c r="E3" s="37"/>
      <c r="F3" s="37"/>
      <c r="G3" s="37"/>
      <c r="H3" s="37"/>
      <c r="I3" s="37"/>
      <c r="J3" s="37"/>
    </row>
    <row r="4" s="2" customFormat="1" ht="24.95" customHeight="1" spans="1:10">
      <c r="A4" s="13" t="str">
        <f>清单封面!B7</f>
        <v>工 程 名 称：</v>
      </c>
      <c r="B4" s="13"/>
      <c r="C4" s="13" t="str">
        <f>清单封面!C7</f>
        <v>第三选矿区C栋宿舍</v>
      </c>
      <c r="D4" s="13"/>
      <c r="E4" s="13"/>
      <c r="F4" s="13"/>
      <c r="G4" s="13"/>
      <c r="H4" s="13"/>
      <c r="I4" s="13"/>
      <c r="J4" s="13"/>
    </row>
    <row r="5" s="2" customFormat="1" ht="24.95" customHeight="1" spans="1:10">
      <c r="A5" s="13" t="str">
        <f>清单封面!B8</f>
        <v>工 程 编 号：</v>
      </c>
      <c r="B5" s="13"/>
      <c r="C5" s="13" t="str">
        <f>清单封面!I18</f>
        <v>HA24575</v>
      </c>
      <c r="D5" s="13"/>
      <c r="E5" s="13"/>
      <c r="F5" s="13"/>
      <c r="G5" s="13"/>
      <c r="H5" s="13"/>
      <c r="I5" s="13"/>
      <c r="J5" s="13"/>
    </row>
    <row r="6" s="3" customFormat="1" ht="24.95" customHeight="1" spans="1:10">
      <c r="A6" s="18" t="s">
        <v>13</v>
      </c>
      <c r="B6" s="18"/>
      <c r="C6" s="18" t="s">
        <v>527</v>
      </c>
      <c r="D6" s="18" t="s">
        <v>808</v>
      </c>
      <c r="E6" s="18" t="s">
        <v>85</v>
      </c>
      <c r="F6" s="18" t="s">
        <v>73</v>
      </c>
      <c r="G6" s="18" t="s">
        <v>72</v>
      </c>
      <c r="H6" s="19" t="s">
        <v>86</v>
      </c>
      <c r="I6" s="19" t="s">
        <v>87</v>
      </c>
      <c r="J6" s="19" t="s">
        <v>16</v>
      </c>
    </row>
    <row r="7" s="4" customFormat="1" ht="24.95" customHeight="1" spans="1:10">
      <c r="A7" s="20">
        <v>1</v>
      </c>
      <c r="B7" s="20"/>
      <c r="C7" s="38" t="s">
        <v>809</v>
      </c>
      <c r="D7" s="39" t="s">
        <v>273</v>
      </c>
      <c r="E7" s="40">
        <v>10025</v>
      </c>
      <c r="F7" s="39" t="s">
        <v>93</v>
      </c>
      <c r="G7" s="39">
        <v>55</v>
      </c>
      <c r="H7" s="41">
        <v>2398.8190925</v>
      </c>
      <c r="I7" s="41">
        <v>131935.0500875</v>
      </c>
      <c r="J7" s="20"/>
    </row>
    <row r="8" s="4" customFormat="1" ht="24.95" customHeight="1" spans="1:10">
      <c r="A8" s="20">
        <v>2</v>
      </c>
      <c r="B8" s="20"/>
      <c r="C8" s="39" t="s">
        <v>810</v>
      </c>
      <c r="D8" s="39" t="s">
        <v>273</v>
      </c>
      <c r="E8" s="40">
        <v>11325</v>
      </c>
      <c r="F8" s="39" t="s">
        <v>93</v>
      </c>
      <c r="G8" s="39">
        <v>12</v>
      </c>
      <c r="H8" s="41">
        <v>2709.8879025</v>
      </c>
      <c r="I8" s="41">
        <v>32518.65483</v>
      </c>
      <c r="J8" s="20"/>
    </row>
    <row r="9" s="4" customFormat="1" ht="24.95" customHeight="1" spans="1:10">
      <c r="A9" s="20">
        <v>3</v>
      </c>
      <c r="B9" s="20"/>
      <c r="C9" s="39" t="s">
        <v>811</v>
      </c>
      <c r="D9" s="39" t="s">
        <v>273</v>
      </c>
      <c r="E9" s="40">
        <v>17875</v>
      </c>
      <c r="F9" s="39" t="s">
        <v>93</v>
      </c>
      <c r="G9" s="39">
        <v>12</v>
      </c>
      <c r="H9" s="41">
        <v>4277.1961375</v>
      </c>
      <c r="I9" s="41">
        <v>51326.35365</v>
      </c>
      <c r="J9" s="20"/>
    </row>
    <row r="10" s="4" customFormat="1" ht="24.95" customHeight="1" spans="1:10">
      <c r="A10" s="20">
        <v>4</v>
      </c>
      <c r="B10" s="20"/>
      <c r="C10" s="39" t="s">
        <v>812</v>
      </c>
      <c r="D10" s="39" t="s">
        <v>117</v>
      </c>
      <c r="E10" s="40">
        <v>9385</v>
      </c>
      <c r="F10" s="39" t="s">
        <v>93</v>
      </c>
      <c r="G10" s="39">
        <v>2</v>
      </c>
      <c r="H10" s="41">
        <v>1078.48952</v>
      </c>
      <c r="I10" s="41">
        <v>2156.97904</v>
      </c>
      <c r="J10" s="20"/>
    </row>
    <row r="11" s="4" customFormat="1" ht="24.95" customHeight="1" spans="1:10">
      <c r="A11" s="20">
        <v>5</v>
      </c>
      <c r="B11" s="20"/>
      <c r="C11" s="39" t="s">
        <v>813</v>
      </c>
      <c r="D11" s="39" t="s">
        <v>117</v>
      </c>
      <c r="E11" s="40">
        <v>9071</v>
      </c>
      <c r="F11" s="39" t="s">
        <v>93</v>
      </c>
      <c r="G11" s="39">
        <v>1</v>
      </c>
      <c r="H11" s="41">
        <v>1048.172192</v>
      </c>
      <c r="I11" s="41">
        <v>1048.172192</v>
      </c>
      <c r="J11" s="20"/>
    </row>
    <row r="12" s="4" customFormat="1" ht="24.95" customHeight="1" spans="1:10">
      <c r="A12" s="20">
        <v>6</v>
      </c>
      <c r="B12" s="20"/>
      <c r="C12" s="39" t="s">
        <v>814</v>
      </c>
      <c r="D12" s="39" t="s">
        <v>117</v>
      </c>
      <c r="E12" s="40">
        <v>9545</v>
      </c>
      <c r="F12" s="39" t="s">
        <v>93</v>
      </c>
      <c r="G12" s="39">
        <v>21</v>
      </c>
      <c r="H12" s="41">
        <v>1102.94384</v>
      </c>
      <c r="I12" s="41">
        <v>23161.82064</v>
      </c>
      <c r="J12" s="20"/>
    </row>
    <row r="13" s="4" customFormat="1" ht="24.95" customHeight="1" spans="1:10">
      <c r="A13" s="20">
        <v>7</v>
      </c>
      <c r="B13" s="20"/>
      <c r="C13" s="39" t="s">
        <v>815</v>
      </c>
      <c r="D13" s="39" t="s">
        <v>117</v>
      </c>
      <c r="E13" s="40">
        <v>9079</v>
      </c>
      <c r="F13" s="39" t="s">
        <v>93</v>
      </c>
      <c r="G13" s="39">
        <v>2</v>
      </c>
      <c r="H13" s="41">
        <v>1049.096608</v>
      </c>
      <c r="I13" s="41">
        <v>2098.193216</v>
      </c>
      <c r="J13" s="20"/>
    </row>
    <row r="14" s="4" customFormat="1" ht="24.95" customHeight="1" spans="1:10">
      <c r="A14" s="20">
        <v>8</v>
      </c>
      <c r="B14" s="20"/>
      <c r="C14" s="39" t="s">
        <v>816</v>
      </c>
      <c r="D14" s="39" t="s">
        <v>117</v>
      </c>
      <c r="E14" s="40">
        <v>9754</v>
      </c>
      <c r="F14" s="39" t="s">
        <v>93</v>
      </c>
      <c r="G14" s="39">
        <v>1</v>
      </c>
      <c r="H14" s="41">
        <v>1127.094208</v>
      </c>
      <c r="I14" s="41">
        <v>1127.094208</v>
      </c>
      <c r="J14" s="20"/>
    </row>
    <row r="15" s="4" customFormat="1" ht="24.95" customHeight="1" spans="1:10">
      <c r="A15" s="20">
        <v>9</v>
      </c>
      <c r="B15" s="20"/>
      <c r="C15" s="39" t="s">
        <v>817</v>
      </c>
      <c r="D15" s="39" t="s">
        <v>117</v>
      </c>
      <c r="E15" s="40">
        <v>6018</v>
      </c>
      <c r="F15" s="39" t="s">
        <v>93</v>
      </c>
      <c r="G15" s="39">
        <v>1</v>
      </c>
      <c r="H15" s="41">
        <v>695.391936</v>
      </c>
      <c r="I15" s="41">
        <v>695.391936</v>
      </c>
      <c r="J15" s="20"/>
    </row>
    <row r="16" s="4" customFormat="1" ht="24.95" customHeight="1" spans="1:10">
      <c r="A16" s="20">
        <v>10</v>
      </c>
      <c r="B16" s="20"/>
      <c r="C16" s="39" t="s">
        <v>818</v>
      </c>
      <c r="D16" s="39" t="s">
        <v>117</v>
      </c>
      <c r="E16" s="40">
        <v>4011</v>
      </c>
      <c r="F16" s="39" t="s">
        <v>93</v>
      </c>
      <c r="G16" s="39">
        <v>1</v>
      </c>
      <c r="H16" s="41">
        <v>463.479072</v>
      </c>
      <c r="I16" s="41">
        <v>463.479072</v>
      </c>
      <c r="J16" s="20"/>
    </row>
    <row r="17" s="4" customFormat="1" ht="24.95" customHeight="1" spans="1:10">
      <c r="A17" s="20">
        <v>11</v>
      </c>
      <c r="B17" s="20"/>
      <c r="C17" s="39" t="s">
        <v>819</v>
      </c>
      <c r="D17" s="39" t="s">
        <v>117</v>
      </c>
      <c r="E17" s="40">
        <v>8998</v>
      </c>
      <c r="F17" s="39" t="s">
        <v>93</v>
      </c>
      <c r="G17" s="39">
        <v>19</v>
      </c>
      <c r="H17" s="41">
        <v>1039.736896</v>
      </c>
      <c r="I17" s="41">
        <v>19755.001024</v>
      </c>
      <c r="J17" s="20"/>
    </row>
    <row r="18" s="4" customFormat="1" ht="24.95" customHeight="1" spans="1:10">
      <c r="A18" s="20">
        <v>12</v>
      </c>
      <c r="B18" s="20"/>
      <c r="C18" s="39" t="s">
        <v>820</v>
      </c>
      <c r="D18" s="39" t="s">
        <v>117</v>
      </c>
      <c r="E18" s="40">
        <v>11197</v>
      </c>
      <c r="F18" s="39" t="s">
        <v>93</v>
      </c>
      <c r="G18" s="39">
        <v>1</v>
      </c>
      <c r="H18" s="41">
        <v>1293.835744</v>
      </c>
      <c r="I18" s="41">
        <v>1293.835744</v>
      </c>
      <c r="J18" s="20"/>
    </row>
    <row r="19" s="4" customFormat="1" ht="24.95" customHeight="1" spans="1:10">
      <c r="A19" s="20">
        <v>13</v>
      </c>
      <c r="B19" s="20"/>
      <c r="C19" s="39" t="s">
        <v>821</v>
      </c>
      <c r="D19" s="39" t="s">
        <v>117</v>
      </c>
      <c r="E19" s="40">
        <v>11557</v>
      </c>
      <c r="F19" s="39" t="s">
        <v>93</v>
      </c>
      <c r="G19" s="39">
        <v>1</v>
      </c>
      <c r="H19" s="41">
        <v>1335.434464</v>
      </c>
      <c r="I19" s="41">
        <v>1335.434464</v>
      </c>
      <c r="J19" s="20"/>
    </row>
    <row r="20" s="4" customFormat="1" ht="24.95" customHeight="1" spans="1:10">
      <c r="A20" s="20">
        <v>14</v>
      </c>
      <c r="B20" s="20"/>
      <c r="C20" s="39" t="s">
        <v>822</v>
      </c>
      <c r="D20" s="39" t="s">
        <v>117</v>
      </c>
      <c r="E20" s="40">
        <v>6196</v>
      </c>
      <c r="F20" s="39" t="s">
        <v>93</v>
      </c>
      <c r="G20" s="39">
        <v>19</v>
      </c>
      <c r="H20" s="41">
        <v>715.960192</v>
      </c>
      <c r="I20" s="41">
        <v>13603.243648</v>
      </c>
      <c r="J20" s="20"/>
    </row>
    <row r="21" s="4" customFormat="1" ht="24.95" customHeight="1" spans="1:10">
      <c r="A21" s="20">
        <v>15</v>
      </c>
      <c r="B21" s="20"/>
      <c r="C21" s="39" t="s">
        <v>823</v>
      </c>
      <c r="D21" s="39" t="s">
        <v>117</v>
      </c>
      <c r="E21" s="40">
        <v>9470</v>
      </c>
      <c r="F21" s="39" t="s">
        <v>93</v>
      </c>
      <c r="G21" s="39">
        <v>15</v>
      </c>
      <c r="H21" s="41">
        <v>1082.34544</v>
      </c>
      <c r="I21" s="41">
        <v>16235.1816</v>
      </c>
      <c r="J21" s="20"/>
    </row>
    <row r="22" s="4" customFormat="1" ht="24.95" customHeight="1" spans="1:10">
      <c r="A22" s="20">
        <v>16</v>
      </c>
      <c r="B22" s="20"/>
      <c r="C22" s="39" t="s">
        <v>824</v>
      </c>
      <c r="D22" s="39" t="s">
        <v>117</v>
      </c>
      <c r="E22" s="40">
        <v>6970</v>
      </c>
      <c r="F22" s="39" t="s">
        <v>93</v>
      </c>
      <c r="G22" s="39">
        <v>16</v>
      </c>
      <c r="H22" s="41">
        <v>793.46544</v>
      </c>
      <c r="I22" s="41">
        <v>12695.44704</v>
      </c>
      <c r="J22" s="20"/>
    </row>
    <row r="23" s="4" customFormat="1" ht="24.95" customHeight="1" spans="1:10">
      <c r="A23" s="20">
        <v>17</v>
      </c>
      <c r="B23" s="20"/>
      <c r="C23" s="39" t="s">
        <v>825</v>
      </c>
      <c r="D23" s="39" t="s">
        <v>241</v>
      </c>
      <c r="E23" s="40">
        <v>8998</v>
      </c>
      <c r="F23" s="39" t="s">
        <v>93</v>
      </c>
      <c r="G23" s="39">
        <v>16</v>
      </c>
      <c r="H23" s="41">
        <v>1702.28663</v>
      </c>
      <c r="I23" s="41">
        <v>27236.58608</v>
      </c>
      <c r="J23" s="20"/>
    </row>
    <row r="24" s="4" customFormat="1" ht="24.95" customHeight="1" spans="1:10">
      <c r="A24" s="20">
        <v>18</v>
      </c>
      <c r="B24" s="20"/>
      <c r="C24" s="39" t="s">
        <v>826</v>
      </c>
      <c r="D24" s="39" t="s">
        <v>241</v>
      </c>
      <c r="E24" s="40">
        <v>6196</v>
      </c>
      <c r="F24" s="39" t="s">
        <v>93</v>
      </c>
      <c r="G24" s="39">
        <v>16</v>
      </c>
      <c r="H24" s="41">
        <v>1172.19026</v>
      </c>
      <c r="I24" s="41">
        <v>18755.04416</v>
      </c>
      <c r="J24" s="20"/>
    </row>
    <row r="25" s="4" customFormat="1" ht="24.95" customHeight="1" spans="1:10">
      <c r="A25" s="20">
        <v>19</v>
      </c>
      <c r="B25" s="20"/>
      <c r="C25" s="39" t="s">
        <v>827</v>
      </c>
      <c r="D25" s="39" t="s">
        <v>104</v>
      </c>
      <c r="E25" s="40">
        <v>9941</v>
      </c>
      <c r="F25" s="39" t="s">
        <v>93</v>
      </c>
      <c r="G25" s="39">
        <v>1</v>
      </c>
      <c r="H25" s="41">
        <v>486.949944</v>
      </c>
      <c r="I25" s="41">
        <v>486.949944</v>
      </c>
      <c r="J25" s="20"/>
    </row>
    <row r="26" s="4" customFormat="1" ht="24.95" customHeight="1" spans="1:10">
      <c r="A26" s="20">
        <v>20</v>
      </c>
      <c r="B26" s="20"/>
      <c r="C26" s="39" t="s">
        <v>828</v>
      </c>
      <c r="D26" s="39" t="s">
        <v>104</v>
      </c>
      <c r="E26" s="40">
        <v>7581</v>
      </c>
      <c r="F26" s="39" t="s">
        <v>93</v>
      </c>
      <c r="G26" s="39">
        <v>2</v>
      </c>
      <c r="H26" s="41">
        <v>371.347704</v>
      </c>
      <c r="I26" s="41">
        <v>742.695408</v>
      </c>
      <c r="J26" s="20"/>
    </row>
    <row r="27" s="4" customFormat="1" ht="24.95" customHeight="1" spans="1:10">
      <c r="A27" s="20">
        <v>21</v>
      </c>
      <c r="B27" s="20"/>
      <c r="C27" s="39" t="s">
        <v>829</v>
      </c>
      <c r="D27" s="39" t="s">
        <v>104</v>
      </c>
      <c r="E27" s="40">
        <v>8046</v>
      </c>
      <c r="F27" s="39" t="s">
        <v>93</v>
      </c>
      <c r="G27" s="39">
        <v>63</v>
      </c>
      <c r="H27" s="41">
        <v>394.125264</v>
      </c>
      <c r="I27" s="41">
        <v>24829.891632</v>
      </c>
      <c r="J27" s="20"/>
    </row>
    <row r="28" s="4" customFormat="1" ht="24.95" customHeight="1" spans="1:10">
      <c r="A28" s="20">
        <v>22</v>
      </c>
      <c r="B28" s="20"/>
      <c r="C28" s="39" t="s">
        <v>830</v>
      </c>
      <c r="D28" s="39" t="s">
        <v>104</v>
      </c>
      <c r="E28" s="40">
        <v>10729</v>
      </c>
      <c r="F28" s="39" t="s">
        <v>93</v>
      </c>
      <c r="G28" s="39">
        <v>1</v>
      </c>
      <c r="H28" s="41">
        <v>525.549336</v>
      </c>
      <c r="I28" s="41">
        <v>525.549336</v>
      </c>
      <c r="J28" s="20"/>
    </row>
    <row r="29" s="4" customFormat="1" ht="24.95" customHeight="1" spans="1:10">
      <c r="A29" s="20">
        <v>23</v>
      </c>
      <c r="B29" s="20"/>
      <c r="C29" s="39" t="s">
        <v>831</v>
      </c>
      <c r="D29" s="39" t="s">
        <v>104</v>
      </c>
      <c r="E29" s="40">
        <v>7596</v>
      </c>
      <c r="F29" s="39" t="s">
        <v>93</v>
      </c>
      <c r="G29" s="39">
        <v>3</v>
      </c>
      <c r="H29" s="41">
        <v>372.082464</v>
      </c>
      <c r="I29" s="41">
        <v>1116.247392</v>
      </c>
      <c r="J29" s="20"/>
    </row>
    <row r="30" s="4" customFormat="1" ht="24.95" customHeight="1" spans="1:10">
      <c r="A30" s="20">
        <v>24</v>
      </c>
      <c r="B30" s="20"/>
      <c r="C30" s="39" t="s">
        <v>832</v>
      </c>
      <c r="D30" s="39" t="s">
        <v>104</v>
      </c>
      <c r="E30" s="40">
        <v>10662</v>
      </c>
      <c r="F30" s="39" t="s">
        <v>93</v>
      </c>
      <c r="G30" s="39">
        <v>6</v>
      </c>
      <c r="H30" s="41">
        <v>522.267408</v>
      </c>
      <c r="I30" s="41">
        <v>3133.604448</v>
      </c>
      <c r="J30" s="20"/>
    </row>
    <row r="31" s="4" customFormat="1" ht="24.95" customHeight="1" spans="1:10">
      <c r="A31" s="20">
        <v>25</v>
      </c>
      <c r="B31" s="20"/>
      <c r="C31" s="39" t="s">
        <v>833</v>
      </c>
      <c r="D31" s="39" t="s">
        <v>104</v>
      </c>
      <c r="E31" s="40">
        <v>8529</v>
      </c>
      <c r="F31" s="39" t="s">
        <v>93</v>
      </c>
      <c r="G31" s="39">
        <v>1</v>
      </c>
      <c r="H31" s="41">
        <v>417.784536</v>
      </c>
      <c r="I31" s="41">
        <v>417.784536</v>
      </c>
      <c r="J31" s="20"/>
    </row>
    <row r="32" s="4" customFormat="1" ht="24.95" customHeight="1" spans="1:10">
      <c r="A32" s="20">
        <v>26</v>
      </c>
      <c r="B32" s="20"/>
      <c r="C32" s="39" t="s">
        <v>834</v>
      </c>
      <c r="D32" s="39" t="s">
        <v>104</v>
      </c>
      <c r="E32" s="40">
        <v>4753</v>
      </c>
      <c r="F32" s="39" t="s">
        <v>93</v>
      </c>
      <c r="G32" s="39">
        <v>1</v>
      </c>
      <c r="H32" s="41">
        <v>232.820952</v>
      </c>
      <c r="I32" s="41">
        <v>232.820952</v>
      </c>
      <c r="J32" s="20"/>
    </row>
    <row r="33" s="4" customFormat="1" ht="24.95" customHeight="1" spans="1:10">
      <c r="A33" s="20">
        <v>27</v>
      </c>
      <c r="B33" s="20"/>
      <c r="C33" s="39" t="s">
        <v>835</v>
      </c>
      <c r="D33" s="39" t="s">
        <v>104</v>
      </c>
      <c r="E33" s="40">
        <v>8496</v>
      </c>
      <c r="F33" s="39" t="s">
        <v>93</v>
      </c>
      <c r="G33" s="39">
        <v>2</v>
      </c>
      <c r="H33" s="41">
        <v>416.168064</v>
      </c>
      <c r="I33" s="41">
        <v>832.336128</v>
      </c>
      <c r="J33" s="20"/>
    </row>
    <row r="34" s="4" customFormat="1" ht="24.95" customHeight="1" spans="1:10">
      <c r="A34" s="20">
        <v>28</v>
      </c>
      <c r="B34" s="20"/>
      <c r="C34" s="39" t="s">
        <v>836</v>
      </c>
      <c r="D34" s="39" t="s">
        <v>104</v>
      </c>
      <c r="E34" s="40">
        <v>7731</v>
      </c>
      <c r="F34" s="39" t="s">
        <v>93</v>
      </c>
      <c r="G34" s="39">
        <v>4</v>
      </c>
      <c r="H34" s="41">
        <v>378.695304</v>
      </c>
      <c r="I34" s="41">
        <v>1514.781216</v>
      </c>
      <c r="J34" s="20"/>
    </row>
    <row r="35" s="4" customFormat="1" ht="24.95" customHeight="1" spans="1:10">
      <c r="A35" s="20">
        <v>29</v>
      </c>
      <c r="B35" s="20"/>
      <c r="C35" s="39" t="s">
        <v>837</v>
      </c>
      <c r="D35" s="39" t="s">
        <v>104</v>
      </c>
      <c r="E35" s="40">
        <v>11129</v>
      </c>
      <c r="F35" s="39" t="s">
        <v>93</v>
      </c>
      <c r="G35" s="39">
        <v>51</v>
      </c>
      <c r="H35" s="41">
        <v>545.142936</v>
      </c>
      <c r="I35" s="41">
        <v>27802.289736</v>
      </c>
      <c r="J35" s="20"/>
    </row>
    <row r="36" s="4" customFormat="1" ht="24.95" customHeight="1" spans="1:10">
      <c r="A36" s="20">
        <v>30</v>
      </c>
      <c r="B36" s="20"/>
      <c r="C36" s="39" t="s">
        <v>838</v>
      </c>
      <c r="D36" s="39" t="s">
        <v>104</v>
      </c>
      <c r="E36" s="40">
        <v>5563</v>
      </c>
      <c r="F36" s="39" t="s">
        <v>93</v>
      </c>
      <c r="G36" s="39">
        <v>1</v>
      </c>
      <c r="H36" s="41">
        <v>272.497992</v>
      </c>
      <c r="I36" s="41">
        <v>272.497992</v>
      </c>
      <c r="J36" s="20"/>
    </row>
    <row r="37" s="4" customFormat="1" ht="24.95" customHeight="1" spans="1:10">
      <c r="A37" s="20">
        <v>31</v>
      </c>
      <c r="B37" s="20"/>
      <c r="C37" s="39" t="s">
        <v>839</v>
      </c>
      <c r="D37" s="39" t="s">
        <v>104</v>
      </c>
      <c r="E37" s="40">
        <v>11529</v>
      </c>
      <c r="F37" s="39" t="s">
        <v>93</v>
      </c>
      <c r="G37" s="39">
        <v>3</v>
      </c>
      <c r="H37" s="41">
        <v>564.736536</v>
      </c>
      <c r="I37" s="41">
        <v>1694.209608</v>
      </c>
      <c r="J37" s="20"/>
    </row>
    <row r="38" s="4" customFormat="1" ht="24.95" customHeight="1" spans="1:12">
      <c r="A38" s="20">
        <v>32</v>
      </c>
      <c r="B38" s="20"/>
      <c r="C38" s="39" t="s">
        <v>840</v>
      </c>
      <c r="D38" s="39" t="s">
        <v>104</v>
      </c>
      <c r="E38" s="40">
        <v>5763</v>
      </c>
      <c r="F38" s="39" t="s">
        <v>93</v>
      </c>
      <c r="G38" s="39">
        <v>1</v>
      </c>
      <c r="H38" s="41">
        <v>282.294792</v>
      </c>
      <c r="I38" s="41">
        <v>282.294792</v>
      </c>
      <c r="J38" s="20"/>
      <c r="L38" s="4" t="s">
        <v>24</v>
      </c>
    </row>
    <row r="39" s="4" customFormat="1" ht="24.95" customHeight="1" spans="1:10">
      <c r="A39" s="20">
        <v>33</v>
      </c>
      <c r="B39" s="20"/>
      <c r="C39" s="39" t="s">
        <v>841</v>
      </c>
      <c r="D39" s="39" t="s">
        <v>104</v>
      </c>
      <c r="E39" s="40">
        <v>6400</v>
      </c>
      <c r="F39" s="39" t="s">
        <v>93</v>
      </c>
      <c r="G39" s="39">
        <v>28</v>
      </c>
      <c r="H39" s="41">
        <v>313.4976</v>
      </c>
      <c r="I39" s="41">
        <v>8777.9328</v>
      </c>
      <c r="J39" s="20"/>
    </row>
    <row r="40" s="4" customFormat="1" ht="24.95" customHeight="1" spans="1:10">
      <c r="A40" s="20">
        <v>34</v>
      </c>
      <c r="B40" s="20"/>
      <c r="C40" s="39" t="s">
        <v>842</v>
      </c>
      <c r="D40" s="39" t="s">
        <v>92</v>
      </c>
      <c r="E40" s="40">
        <v>5806</v>
      </c>
      <c r="F40" s="39" t="s">
        <v>93</v>
      </c>
      <c r="G40" s="39">
        <v>1</v>
      </c>
      <c r="H40" s="41">
        <v>909.212434</v>
      </c>
      <c r="I40" s="41">
        <v>909.212434</v>
      </c>
      <c r="J40" s="20"/>
    </row>
    <row r="41" s="4" customFormat="1" ht="24.95" customHeight="1" spans="1:10">
      <c r="A41" s="20">
        <v>35</v>
      </c>
      <c r="B41" s="20"/>
      <c r="C41" s="39" t="s">
        <v>843</v>
      </c>
      <c r="D41" s="39" t="s">
        <v>92</v>
      </c>
      <c r="E41" s="40">
        <v>5956</v>
      </c>
      <c r="F41" s="39" t="s">
        <v>93</v>
      </c>
      <c r="G41" s="39">
        <v>14</v>
      </c>
      <c r="H41" s="41">
        <v>933.398284</v>
      </c>
      <c r="I41" s="41">
        <v>13067.575976</v>
      </c>
      <c r="J41" s="20"/>
    </row>
    <row r="42" s="4" customFormat="1" ht="24.95" customHeight="1" spans="1:10">
      <c r="A42" s="20">
        <v>36</v>
      </c>
      <c r="B42" s="20"/>
      <c r="C42" s="39" t="s">
        <v>844</v>
      </c>
      <c r="D42" s="39" t="s">
        <v>92</v>
      </c>
      <c r="E42" s="40">
        <v>5801</v>
      </c>
      <c r="F42" s="39" t="s">
        <v>93</v>
      </c>
      <c r="G42" s="39">
        <v>2</v>
      </c>
      <c r="H42" s="41">
        <v>908.406239</v>
      </c>
      <c r="I42" s="41">
        <v>1816.812478</v>
      </c>
      <c r="J42" s="20"/>
    </row>
    <row r="43" s="4" customFormat="1" ht="24.95" customHeight="1" spans="1:10">
      <c r="A43" s="20">
        <v>37</v>
      </c>
      <c r="B43" s="20"/>
      <c r="C43" s="39" t="s">
        <v>845</v>
      </c>
      <c r="D43" s="39" t="s">
        <v>92</v>
      </c>
      <c r="E43" s="40">
        <v>7018</v>
      </c>
      <c r="F43" s="39" t="s">
        <v>93</v>
      </c>
      <c r="G43" s="39">
        <v>17</v>
      </c>
      <c r="H43" s="41">
        <v>1104.445702</v>
      </c>
      <c r="I43" s="41">
        <v>18775.576934</v>
      </c>
      <c r="J43" s="20"/>
    </row>
    <row r="44" s="4" customFormat="1" ht="24.95" customHeight="1" spans="1:10">
      <c r="A44" s="20">
        <v>38</v>
      </c>
      <c r="B44" s="20"/>
      <c r="C44" s="39" t="s">
        <v>846</v>
      </c>
      <c r="D44" s="39" t="s">
        <v>92</v>
      </c>
      <c r="E44" s="40">
        <v>6866</v>
      </c>
      <c r="F44" s="39" t="s">
        <v>93</v>
      </c>
      <c r="G44" s="39">
        <v>16</v>
      </c>
      <c r="H44" s="41">
        <v>1080.125774</v>
      </c>
      <c r="I44" s="41">
        <v>17282.012384</v>
      </c>
      <c r="J44" s="20"/>
    </row>
    <row r="45" s="4" customFormat="1" ht="24.95" customHeight="1" spans="1:10">
      <c r="A45" s="20">
        <v>39</v>
      </c>
      <c r="B45" s="20"/>
      <c r="C45" s="39" t="s">
        <v>847</v>
      </c>
      <c r="D45" s="39" t="s">
        <v>92</v>
      </c>
      <c r="E45" s="40">
        <v>9671</v>
      </c>
      <c r="F45" s="39" t="s">
        <v>93</v>
      </c>
      <c r="G45" s="39">
        <v>1</v>
      </c>
      <c r="H45" s="41">
        <v>1559.342369</v>
      </c>
      <c r="I45" s="41">
        <v>1559.342369</v>
      </c>
      <c r="J45" s="20"/>
    </row>
    <row r="46" s="4" customFormat="1" ht="24.95" customHeight="1" spans="1:10">
      <c r="A46" s="20">
        <v>40</v>
      </c>
      <c r="B46" s="20"/>
      <c r="C46" s="39" t="s">
        <v>848</v>
      </c>
      <c r="D46" s="39" t="s">
        <v>92</v>
      </c>
      <c r="E46" s="40">
        <v>10145</v>
      </c>
      <c r="F46" s="39" t="s">
        <v>93</v>
      </c>
      <c r="G46" s="39">
        <v>21</v>
      </c>
      <c r="H46" s="41">
        <v>1635.769655</v>
      </c>
      <c r="I46" s="41">
        <v>34351.162755</v>
      </c>
      <c r="J46" s="20"/>
    </row>
    <row r="47" s="4" customFormat="1" ht="24.95" customHeight="1" spans="1:10">
      <c r="A47" s="20">
        <v>41</v>
      </c>
      <c r="B47" s="20"/>
      <c r="C47" s="39" t="s">
        <v>849</v>
      </c>
      <c r="D47" s="39" t="s">
        <v>92</v>
      </c>
      <c r="E47" s="40">
        <v>9679</v>
      </c>
      <c r="F47" s="39" t="s">
        <v>93</v>
      </c>
      <c r="G47" s="39">
        <v>2</v>
      </c>
      <c r="H47" s="41">
        <v>1560.632281</v>
      </c>
      <c r="I47" s="41">
        <v>3121.264562</v>
      </c>
      <c r="J47" s="20"/>
    </row>
    <row r="48" s="4" customFormat="1" ht="24.95" customHeight="1" spans="1:10">
      <c r="A48" s="20">
        <v>42</v>
      </c>
      <c r="B48" s="20"/>
      <c r="C48" s="39" t="s">
        <v>850</v>
      </c>
      <c r="D48" s="39" t="s">
        <v>92</v>
      </c>
      <c r="E48" s="40">
        <v>4838</v>
      </c>
      <c r="F48" s="39" t="s">
        <v>93</v>
      </c>
      <c r="G48" s="39">
        <v>1</v>
      </c>
      <c r="H48" s="41">
        <v>780.074282</v>
      </c>
      <c r="I48" s="41">
        <v>780.074282</v>
      </c>
      <c r="J48" s="20"/>
    </row>
    <row r="49" s="4" customFormat="1" ht="24.95" customHeight="1" spans="1:10">
      <c r="A49" s="20">
        <v>43</v>
      </c>
      <c r="B49" s="20"/>
      <c r="C49" s="39" t="s">
        <v>851</v>
      </c>
      <c r="D49" s="39" t="s">
        <v>92</v>
      </c>
      <c r="E49" s="40">
        <v>6413</v>
      </c>
      <c r="F49" s="39" t="s">
        <v>93</v>
      </c>
      <c r="G49" s="39">
        <v>1</v>
      </c>
      <c r="H49" s="41">
        <v>1034.025707</v>
      </c>
      <c r="I49" s="41">
        <v>1034.025707</v>
      </c>
      <c r="J49" s="20"/>
    </row>
    <row r="50" s="4" customFormat="1" ht="24.95" customHeight="1" spans="1:10">
      <c r="A50" s="20">
        <v>44</v>
      </c>
      <c r="B50" s="20"/>
      <c r="C50" s="39" t="s">
        <v>852</v>
      </c>
      <c r="D50" s="39" t="s">
        <v>92</v>
      </c>
      <c r="E50" s="40">
        <v>9225</v>
      </c>
      <c r="F50" s="39" t="s">
        <v>93</v>
      </c>
      <c r="G50" s="39">
        <v>1</v>
      </c>
      <c r="H50" s="41">
        <v>1487.429775</v>
      </c>
      <c r="I50" s="41">
        <v>1487.429775</v>
      </c>
      <c r="J50" s="20"/>
    </row>
    <row r="51" s="4" customFormat="1" ht="24.95" customHeight="1" spans="1:10">
      <c r="A51" s="20">
        <v>45</v>
      </c>
      <c r="B51" s="20"/>
      <c r="C51" s="39" t="s">
        <v>853</v>
      </c>
      <c r="D51" s="39" t="s">
        <v>92</v>
      </c>
      <c r="E51" s="40">
        <v>11557</v>
      </c>
      <c r="F51" s="39" t="s">
        <v>93</v>
      </c>
      <c r="G51" s="39">
        <v>1</v>
      </c>
      <c r="H51" s="41">
        <v>1863.439123</v>
      </c>
      <c r="I51" s="41">
        <v>1863.439123</v>
      </c>
      <c r="J51" s="20"/>
    </row>
    <row r="52" s="4" customFormat="1" ht="24.95" customHeight="1" spans="1:10">
      <c r="A52" s="20">
        <v>46</v>
      </c>
      <c r="B52" s="20"/>
      <c r="C52" s="39" t="s">
        <v>854</v>
      </c>
      <c r="D52" s="39" t="s">
        <v>92</v>
      </c>
      <c r="E52" s="40">
        <v>11197</v>
      </c>
      <c r="F52" s="39" t="s">
        <v>93</v>
      </c>
      <c r="G52" s="39">
        <v>1</v>
      </c>
      <c r="H52" s="41">
        <v>1805.393083</v>
      </c>
      <c r="I52" s="41">
        <v>1805.393083</v>
      </c>
      <c r="J52" s="20"/>
    </row>
    <row r="53" s="4" customFormat="1" ht="24.95" customHeight="1" spans="1:10">
      <c r="A53" s="20">
        <v>47</v>
      </c>
      <c r="B53" s="20"/>
      <c r="C53" s="39" t="s">
        <v>855</v>
      </c>
      <c r="D53" s="39" t="s">
        <v>92</v>
      </c>
      <c r="E53" s="40">
        <v>8998</v>
      </c>
      <c r="F53" s="39" t="s">
        <v>93</v>
      </c>
      <c r="G53" s="39">
        <v>3</v>
      </c>
      <c r="H53" s="41">
        <v>1450.828522</v>
      </c>
      <c r="I53" s="41">
        <v>4352.485566</v>
      </c>
      <c r="J53" s="20"/>
    </row>
    <row r="54" s="4" customFormat="1" ht="24.95" customHeight="1" spans="1:10">
      <c r="A54" s="20">
        <v>48</v>
      </c>
      <c r="B54" s="20"/>
      <c r="C54" s="39" t="s">
        <v>856</v>
      </c>
      <c r="D54" s="39" t="s">
        <v>92</v>
      </c>
      <c r="E54" s="40">
        <v>6196</v>
      </c>
      <c r="F54" s="39" t="s">
        <v>93</v>
      </c>
      <c r="G54" s="39">
        <v>3</v>
      </c>
      <c r="H54" s="41">
        <v>999.036844</v>
      </c>
      <c r="I54" s="41">
        <v>2997.110532</v>
      </c>
      <c r="J54" s="20"/>
    </row>
    <row r="55" s="4" customFormat="1" ht="24.95" customHeight="1" spans="1:10">
      <c r="A55" s="20">
        <v>49</v>
      </c>
      <c r="B55" s="20"/>
      <c r="C55" s="39" t="s">
        <v>857</v>
      </c>
      <c r="D55" s="39" t="s">
        <v>109</v>
      </c>
      <c r="E55" s="40">
        <v>11239</v>
      </c>
      <c r="F55" s="39" t="s">
        <v>93</v>
      </c>
      <c r="G55" s="39">
        <v>3</v>
      </c>
      <c r="H55" s="41">
        <v>547.7079392</v>
      </c>
      <c r="I55" s="41">
        <v>1643.1238176</v>
      </c>
      <c r="J55" s="20"/>
    </row>
    <row r="56" s="4" customFormat="1" ht="24.95" customHeight="1" spans="1:10">
      <c r="A56" s="20">
        <v>50</v>
      </c>
      <c r="B56" s="20"/>
      <c r="C56" s="39" t="s">
        <v>858</v>
      </c>
      <c r="D56" s="39" t="s">
        <v>109</v>
      </c>
      <c r="E56" s="40">
        <v>6517</v>
      </c>
      <c r="F56" s="39" t="s">
        <v>93</v>
      </c>
      <c r="G56" s="39">
        <v>2</v>
      </c>
      <c r="H56" s="41">
        <v>317.5916576</v>
      </c>
      <c r="I56" s="41">
        <v>635.1833152</v>
      </c>
      <c r="J56" s="20"/>
    </row>
    <row r="57" s="4" customFormat="1" ht="24.95" customHeight="1" spans="1:10">
      <c r="A57" s="20">
        <v>51</v>
      </c>
      <c r="B57" s="20"/>
      <c r="C57" s="39" t="s">
        <v>859</v>
      </c>
      <c r="D57" s="39" t="s">
        <v>109</v>
      </c>
      <c r="E57" s="40">
        <v>8617</v>
      </c>
      <c r="F57" s="39" t="s">
        <v>93</v>
      </c>
      <c r="G57" s="39">
        <v>1</v>
      </c>
      <c r="H57" s="41">
        <v>419.9305376</v>
      </c>
      <c r="I57" s="41">
        <v>419.9305376</v>
      </c>
      <c r="J57" s="20"/>
    </row>
    <row r="58" s="4" customFormat="1" ht="24.95" customHeight="1" spans="1:10">
      <c r="A58" s="20">
        <v>52</v>
      </c>
      <c r="B58" s="20"/>
      <c r="C58" s="39" t="s">
        <v>860</v>
      </c>
      <c r="D58" s="39" t="s">
        <v>109</v>
      </c>
      <c r="E58" s="40">
        <v>11197</v>
      </c>
      <c r="F58" s="39" t="s">
        <v>93</v>
      </c>
      <c r="G58" s="39">
        <v>5</v>
      </c>
      <c r="H58" s="41">
        <v>545.6611616</v>
      </c>
      <c r="I58" s="41">
        <v>2728.305808</v>
      </c>
      <c r="J58" s="20"/>
    </row>
    <row r="59" s="4" customFormat="1" ht="24.95" customHeight="1" spans="1:10">
      <c r="A59" s="20">
        <v>53</v>
      </c>
      <c r="B59" s="20"/>
      <c r="C59" s="39" t="s">
        <v>861</v>
      </c>
      <c r="D59" s="39" t="s">
        <v>109</v>
      </c>
      <c r="E59" s="40">
        <v>11129</v>
      </c>
      <c r="F59" s="39" t="s">
        <v>93</v>
      </c>
      <c r="G59" s="39">
        <v>15</v>
      </c>
      <c r="H59" s="41">
        <v>542.3473312</v>
      </c>
      <c r="I59" s="41">
        <v>8135.209968</v>
      </c>
      <c r="J59" s="20"/>
    </row>
    <row r="60" s="4" customFormat="1" ht="24.95" customHeight="1" spans="1:10">
      <c r="A60" s="20">
        <v>54</v>
      </c>
      <c r="B60" s="20"/>
      <c r="C60" s="39" t="s">
        <v>862</v>
      </c>
      <c r="D60" s="39" t="s">
        <v>109</v>
      </c>
      <c r="E60" s="40">
        <v>2780</v>
      </c>
      <c r="F60" s="39" t="s">
        <v>93</v>
      </c>
      <c r="G60" s="39">
        <v>1</v>
      </c>
      <c r="H60" s="41">
        <v>135.477184</v>
      </c>
      <c r="I60" s="41">
        <v>135.477184</v>
      </c>
      <c r="J60" s="20"/>
    </row>
    <row r="61" s="4" customFormat="1" ht="24.95" customHeight="1" spans="1:10">
      <c r="A61" s="20">
        <v>55</v>
      </c>
      <c r="B61" s="20"/>
      <c r="C61" s="39" t="s">
        <v>863</v>
      </c>
      <c r="D61" s="39" t="s">
        <v>109</v>
      </c>
      <c r="E61" s="40">
        <v>8046</v>
      </c>
      <c r="F61" s="39" t="s">
        <v>93</v>
      </c>
      <c r="G61" s="39">
        <v>1</v>
      </c>
      <c r="H61" s="41">
        <v>392.1041088</v>
      </c>
      <c r="I61" s="41">
        <v>392.1041088</v>
      </c>
      <c r="J61" s="20"/>
    </row>
    <row r="62" s="4" customFormat="1" ht="24.95" customHeight="1" spans="1:10">
      <c r="A62" s="20">
        <v>56</v>
      </c>
      <c r="B62" s="20"/>
      <c r="C62" s="39" t="s">
        <v>864</v>
      </c>
      <c r="D62" s="39" t="s">
        <v>109</v>
      </c>
      <c r="E62" s="40">
        <v>9045</v>
      </c>
      <c r="F62" s="39" t="s">
        <v>93</v>
      </c>
      <c r="G62" s="39">
        <v>1</v>
      </c>
      <c r="H62" s="41">
        <v>440.788176</v>
      </c>
      <c r="I62" s="41">
        <v>440.788176</v>
      </c>
      <c r="J62" s="20"/>
    </row>
    <row r="63" s="4" customFormat="1" ht="24.95" customHeight="1" spans="1:10">
      <c r="A63" s="20">
        <v>57</v>
      </c>
      <c r="B63" s="20"/>
      <c r="C63" s="39" t="s">
        <v>865</v>
      </c>
      <c r="D63" s="39" t="s">
        <v>109</v>
      </c>
      <c r="E63" s="40">
        <v>7567</v>
      </c>
      <c r="F63" s="39" t="s">
        <v>93</v>
      </c>
      <c r="G63" s="39">
        <v>1</v>
      </c>
      <c r="H63" s="41">
        <v>368.7610976</v>
      </c>
      <c r="I63" s="41">
        <v>368.7610976</v>
      </c>
      <c r="J63" s="20"/>
    </row>
    <row r="64" s="4" customFormat="1" ht="24.95" customHeight="1" spans="1:10">
      <c r="A64" s="20">
        <v>58</v>
      </c>
      <c r="B64" s="20"/>
      <c r="C64" s="39" t="s">
        <v>866</v>
      </c>
      <c r="D64" s="39" t="s">
        <v>109</v>
      </c>
      <c r="E64" s="40">
        <v>10309</v>
      </c>
      <c r="F64" s="39" t="s">
        <v>93</v>
      </c>
      <c r="G64" s="39">
        <v>3</v>
      </c>
      <c r="H64" s="41">
        <v>502.3864352</v>
      </c>
      <c r="I64" s="41">
        <v>1507.1593056</v>
      </c>
      <c r="J64" s="20"/>
    </row>
    <row r="65" s="4" customFormat="1" ht="24.95" customHeight="1" spans="1:10">
      <c r="A65" s="20">
        <v>59</v>
      </c>
      <c r="B65" s="20"/>
      <c r="C65" s="39" t="s">
        <v>867</v>
      </c>
      <c r="D65" s="39" t="s">
        <v>109</v>
      </c>
      <c r="E65" s="40">
        <v>10403</v>
      </c>
      <c r="F65" s="39" t="s">
        <v>93</v>
      </c>
      <c r="G65" s="39">
        <v>3</v>
      </c>
      <c r="H65" s="41">
        <v>506.9673184</v>
      </c>
      <c r="I65" s="41">
        <v>1520.9019552</v>
      </c>
      <c r="J65" s="20"/>
    </row>
    <row r="66" s="4" customFormat="1" ht="24.95" customHeight="1" spans="1:10">
      <c r="A66" s="20">
        <v>60</v>
      </c>
      <c r="B66" s="20"/>
      <c r="C66" s="39" t="s">
        <v>868</v>
      </c>
      <c r="D66" s="39" t="s">
        <v>142</v>
      </c>
      <c r="E66" s="40">
        <v>11557</v>
      </c>
      <c r="F66" s="39" t="s">
        <v>93</v>
      </c>
      <c r="G66" s="39">
        <v>5</v>
      </c>
      <c r="H66" s="41">
        <v>1005.204746</v>
      </c>
      <c r="I66" s="41">
        <v>5026.02373</v>
      </c>
      <c r="J66" s="20"/>
    </row>
    <row r="67" s="4" customFormat="1" ht="24.95" customHeight="1" spans="1:10">
      <c r="A67" s="20">
        <v>61</v>
      </c>
      <c r="B67" s="20"/>
      <c r="C67" s="39" t="s">
        <v>869</v>
      </c>
      <c r="D67" s="39" t="s">
        <v>142</v>
      </c>
      <c r="E67" s="40">
        <v>6517</v>
      </c>
      <c r="F67" s="39" t="s">
        <v>93</v>
      </c>
      <c r="G67" s="39">
        <v>2</v>
      </c>
      <c r="H67" s="41">
        <v>566.835626</v>
      </c>
      <c r="I67" s="41">
        <v>1133.671252</v>
      </c>
      <c r="J67" s="20"/>
    </row>
    <row r="68" s="4" customFormat="1" ht="24.95" customHeight="1" spans="1:10">
      <c r="A68" s="20">
        <v>62</v>
      </c>
      <c r="B68" s="20"/>
      <c r="C68" s="39" t="s">
        <v>870</v>
      </c>
      <c r="D68" s="39" t="s">
        <v>142</v>
      </c>
      <c r="E68" s="40">
        <v>6221</v>
      </c>
      <c r="F68" s="39" t="s">
        <v>93</v>
      </c>
      <c r="G68" s="39">
        <v>1</v>
      </c>
      <c r="H68" s="41">
        <v>541.090138</v>
      </c>
      <c r="I68" s="41">
        <v>541.090138</v>
      </c>
      <c r="J68" s="20"/>
    </row>
    <row r="69" s="4" customFormat="1" ht="24.95" customHeight="1" spans="1:10">
      <c r="A69" s="20">
        <v>63</v>
      </c>
      <c r="B69" s="20"/>
      <c r="C69" s="39" t="s">
        <v>871</v>
      </c>
      <c r="D69" s="39" t="s">
        <v>142</v>
      </c>
      <c r="E69" s="40">
        <v>8389</v>
      </c>
      <c r="F69" s="39" t="s">
        <v>93</v>
      </c>
      <c r="G69" s="39">
        <v>3</v>
      </c>
      <c r="H69" s="41">
        <v>729.658442</v>
      </c>
      <c r="I69" s="41">
        <v>2188.975326</v>
      </c>
      <c r="J69" s="20"/>
    </row>
    <row r="70" s="4" customFormat="1" ht="24.95" customHeight="1" spans="1:10">
      <c r="A70" s="20">
        <v>64</v>
      </c>
      <c r="B70" s="20"/>
      <c r="C70" s="39" t="s">
        <v>872</v>
      </c>
      <c r="D70" s="39" t="s">
        <v>142</v>
      </c>
      <c r="E70" s="40">
        <v>9425</v>
      </c>
      <c r="F70" s="39" t="s">
        <v>93</v>
      </c>
      <c r="G70" s="39">
        <v>2</v>
      </c>
      <c r="H70" s="41">
        <v>819.76765</v>
      </c>
      <c r="I70" s="41">
        <v>1639.5353</v>
      </c>
      <c r="J70" s="20"/>
    </row>
    <row r="71" s="4" customFormat="1" ht="24.95" customHeight="1" spans="1:10">
      <c r="A71" s="20">
        <v>65</v>
      </c>
      <c r="B71" s="20"/>
      <c r="C71" s="39" t="s">
        <v>873</v>
      </c>
      <c r="D71" s="39" t="s">
        <v>142</v>
      </c>
      <c r="E71" s="40">
        <v>6461</v>
      </c>
      <c r="F71" s="39" t="s">
        <v>93</v>
      </c>
      <c r="G71" s="39">
        <v>2</v>
      </c>
      <c r="H71" s="41">
        <v>561.964858</v>
      </c>
      <c r="I71" s="41">
        <v>1123.929716</v>
      </c>
      <c r="J71" s="20"/>
    </row>
    <row r="72" s="4" customFormat="1" ht="24.95" customHeight="1" spans="1:10">
      <c r="A72" s="20">
        <v>66</v>
      </c>
      <c r="B72" s="20"/>
      <c r="C72" s="39" t="s">
        <v>874</v>
      </c>
      <c r="D72" s="39" t="s">
        <v>142</v>
      </c>
      <c r="E72" s="40">
        <v>11721</v>
      </c>
      <c r="F72" s="39" t="s">
        <v>93</v>
      </c>
      <c r="G72" s="39">
        <v>1</v>
      </c>
      <c r="H72" s="41">
        <v>1019.469138</v>
      </c>
      <c r="I72" s="41">
        <v>1019.469138</v>
      </c>
      <c r="J72" s="20"/>
    </row>
    <row r="73" s="4" customFormat="1" ht="24.95" customHeight="1" spans="1:10">
      <c r="A73" s="20">
        <v>67</v>
      </c>
      <c r="B73" s="20"/>
      <c r="C73" s="39" t="s">
        <v>875</v>
      </c>
      <c r="D73" s="39" t="s">
        <v>137</v>
      </c>
      <c r="E73" s="40">
        <v>9010</v>
      </c>
      <c r="F73" s="39" t="s">
        <v>93</v>
      </c>
      <c r="G73" s="39">
        <v>2</v>
      </c>
      <c r="H73" s="41">
        <v>652.11677</v>
      </c>
      <c r="I73" s="41">
        <v>1304.23354</v>
      </c>
      <c r="J73" s="20"/>
    </row>
    <row r="74" s="4" customFormat="1" ht="24.95" customHeight="1" spans="1:10">
      <c r="A74" s="20">
        <v>68</v>
      </c>
      <c r="B74" s="20"/>
      <c r="C74" s="39" t="s">
        <v>876</v>
      </c>
      <c r="D74" s="39" t="s">
        <v>137</v>
      </c>
      <c r="E74" s="40">
        <v>6258</v>
      </c>
      <c r="F74" s="39" t="s">
        <v>93</v>
      </c>
      <c r="G74" s="39">
        <v>2</v>
      </c>
      <c r="H74" s="41">
        <v>452.935266</v>
      </c>
      <c r="I74" s="41">
        <v>905.870532</v>
      </c>
      <c r="J74" s="20"/>
    </row>
    <row r="75" s="4" customFormat="1" ht="24.95" customHeight="1" spans="1:10">
      <c r="A75" s="20">
        <v>69</v>
      </c>
      <c r="B75" s="20"/>
      <c r="C75" s="39" t="s">
        <v>877</v>
      </c>
      <c r="D75" s="39" t="s">
        <v>137</v>
      </c>
      <c r="E75" s="40">
        <v>11309</v>
      </c>
      <c r="F75" s="39" t="s">
        <v>93</v>
      </c>
      <c r="G75" s="39">
        <v>1</v>
      </c>
      <c r="H75" s="41">
        <v>818.511493</v>
      </c>
      <c r="I75" s="41">
        <v>818.511493</v>
      </c>
      <c r="J75" s="20"/>
    </row>
    <row r="76" s="4" customFormat="1" ht="24.95" customHeight="1" spans="1:10">
      <c r="A76" s="20">
        <v>70</v>
      </c>
      <c r="B76" s="20"/>
      <c r="C76" s="39" t="s">
        <v>878</v>
      </c>
      <c r="D76" s="39" t="s">
        <v>137</v>
      </c>
      <c r="E76" s="40">
        <v>10429</v>
      </c>
      <c r="F76" s="39" t="s">
        <v>93</v>
      </c>
      <c r="G76" s="39">
        <v>3</v>
      </c>
      <c r="H76" s="41">
        <v>754.819733</v>
      </c>
      <c r="I76" s="41">
        <v>2264.459199</v>
      </c>
      <c r="J76" s="20"/>
    </row>
    <row r="77" s="4" customFormat="1" ht="24.95" customHeight="1" spans="1:10">
      <c r="A77" s="20">
        <v>71</v>
      </c>
      <c r="B77" s="20"/>
      <c r="C77" s="39" t="s">
        <v>879</v>
      </c>
      <c r="D77" s="39" t="s">
        <v>137</v>
      </c>
      <c r="E77" s="40">
        <v>11557</v>
      </c>
      <c r="F77" s="39" t="s">
        <v>93</v>
      </c>
      <c r="G77" s="39">
        <v>12</v>
      </c>
      <c r="H77" s="41">
        <v>836.460989</v>
      </c>
      <c r="I77" s="41">
        <v>10037.531868</v>
      </c>
      <c r="J77" s="20"/>
    </row>
    <row r="78" s="4" customFormat="1" ht="24.95" customHeight="1" spans="1:10">
      <c r="A78" s="20">
        <v>72</v>
      </c>
      <c r="B78" s="20"/>
      <c r="C78" s="39" t="s">
        <v>880</v>
      </c>
      <c r="D78" s="39" t="s">
        <v>137</v>
      </c>
      <c r="E78" s="40">
        <v>20485</v>
      </c>
      <c r="F78" s="39" t="s">
        <v>93</v>
      </c>
      <c r="G78" s="39">
        <v>8</v>
      </c>
      <c r="H78" s="41">
        <v>1482.642845</v>
      </c>
      <c r="I78" s="41">
        <v>11861.14276</v>
      </c>
      <c r="J78" s="20"/>
    </row>
    <row r="79" s="4" customFormat="1" ht="24.95" customHeight="1" spans="1:10">
      <c r="A79" s="20">
        <v>73</v>
      </c>
      <c r="B79" s="20"/>
      <c r="C79" s="39" t="s">
        <v>881</v>
      </c>
      <c r="D79" s="39" t="s">
        <v>482</v>
      </c>
      <c r="E79" s="40">
        <v>9729</v>
      </c>
      <c r="F79" s="39" t="s">
        <v>93</v>
      </c>
      <c r="G79" s="39">
        <v>3</v>
      </c>
      <c r="H79" s="41">
        <v>356.8130208</v>
      </c>
      <c r="I79" s="41">
        <v>1070.4390624</v>
      </c>
      <c r="J79" s="20"/>
    </row>
    <row r="80" s="4" customFormat="1" ht="24.95" customHeight="1" spans="1:10">
      <c r="A80" s="20">
        <v>74</v>
      </c>
      <c r="B80" s="20"/>
      <c r="C80" s="39" t="s">
        <v>882</v>
      </c>
      <c r="D80" s="39" t="s">
        <v>482</v>
      </c>
      <c r="E80" s="40">
        <v>4863</v>
      </c>
      <c r="F80" s="39" t="s">
        <v>93</v>
      </c>
      <c r="G80" s="39">
        <v>1</v>
      </c>
      <c r="H80" s="41">
        <v>178.3514976</v>
      </c>
      <c r="I80" s="41">
        <v>178.3514976</v>
      </c>
      <c r="J80" s="20"/>
    </row>
    <row r="81" s="4" customFormat="1" ht="24.95" customHeight="1" spans="1:10">
      <c r="A81" s="20">
        <v>75</v>
      </c>
      <c r="B81" s="20"/>
      <c r="C81" s="39" t="s">
        <v>883</v>
      </c>
      <c r="D81" s="39" t="s">
        <v>482</v>
      </c>
      <c r="E81" s="40">
        <v>3583</v>
      </c>
      <c r="F81" s="39" t="s">
        <v>93</v>
      </c>
      <c r="G81" s="39">
        <v>1</v>
      </c>
      <c r="H81" s="41">
        <v>131.4072416</v>
      </c>
      <c r="I81" s="41">
        <v>131.4072416</v>
      </c>
      <c r="J81" s="20"/>
    </row>
    <row r="82" s="4" customFormat="1" ht="24.95" customHeight="1" spans="1:10">
      <c r="A82" s="20">
        <v>76</v>
      </c>
      <c r="B82" s="20"/>
      <c r="C82" s="39" t="s">
        <v>884</v>
      </c>
      <c r="D82" s="39" t="s">
        <v>482</v>
      </c>
      <c r="E82" s="40">
        <v>11055</v>
      </c>
      <c r="F82" s="39" t="s">
        <v>93</v>
      </c>
      <c r="G82" s="39">
        <v>2</v>
      </c>
      <c r="H82" s="41">
        <v>405.444336</v>
      </c>
      <c r="I82" s="41">
        <v>810.888672</v>
      </c>
      <c r="J82" s="20"/>
    </row>
    <row r="83" s="4" customFormat="1" ht="24.95" customHeight="1" spans="1:10">
      <c r="A83" s="20">
        <v>77</v>
      </c>
      <c r="B83" s="20"/>
      <c r="C83" s="39" t="s">
        <v>885</v>
      </c>
      <c r="D83" s="39" t="s">
        <v>502</v>
      </c>
      <c r="E83" s="40">
        <v>11037</v>
      </c>
      <c r="F83" s="39" t="s">
        <v>93</v>
      </c>
      <c r="G83" s="39">
        <v>1</v>
      </c>
      <c r="H83" s="41">
        <v>372.9004968</v>
      </c>
      <c r="I83" s="41">
        <v>372.9004968</v>
      </c>
      <c r="J83" s="20"/>
    </row>
    <row r="84" s="4" customFormat="1" ht="24.95" customHeight="1" spans="1:10">
      <c r="A84" s="20">
        <v>78</v>
      </c>
      <c r="B84" s="20"/>
      <c r="C84" s="39" t="s">
        <v>886</v>
      </c>
      <c r="D84" s="39" t="s">
        <v>502</v>
      </c>
      <c r="E84" s="40">
        <v>10465</v>
      </c>
      <c r="F84" s="39" t="s">
        <v>93</v>
      </c>
      <c r="G84" s="39">
        <v>1</v>
      </c>
      <c r="H84" s="41">
        <v>353.574676</v>
      </c>
      <c r="I84" s="41">
        <v>353.574676</v>
      </c>
      <c r="J84" s="20"/>
    </row>
    <row r="85" s="4" customFormat="1" ht="24.95" customHeight="1" spans="1:10">
      <c r="A85" s="20">
        <v>79</v>
      </c>
      <c r="B85" s="20"/>
      <c r="C85" s="39" t="s">
        <v>887</v>
      </c>
      <c r="D85" s="39" t="s">
        <v>502</v>
      </c>
      <c r="E85" s="40">
        <v>1372</v>
      </c>
      <c r="F85" s="39" t="s">
        <v>93</v>
      </c>
      <c r="G85" s="39">
        <v>16</v>
      </c>
      <c r="H85" s="41">
        <v>46.3549408</v>
      </c>
      <c r="I85" s="41">
        <v>741.6790528</v>
      </c>
      <c r="J85" s="20"/>
    </row>
    <row r="86" s="4" customFormat="1" ht="24.95" customHeight="1" spans="1:10">
      <c r="A86" s="20">
        <v>80</v>
      </c>
      <c r="B86" s="20"/>
      <c r="C86" s="39" t="s">
        <v>888</v>
      </c>
      <c r="D86" s="39" t="s">
        <v>273</v>
      </c>
      <c r="E86" s="40">
        <v>16985</v>
      </c>
      <c r="F86" s="39" t="s">
        <v>93</v>
      </c>
      <c r="G86" s="39">
        <v>4</v>
      </c>
      <c r="H86" s="41">
        <v>4064.2336445</v>
      </c>
      <c r="I86" s="41">
        <v>16256.934578</v>
      </c>
      <c r="J86" s="20"/>
    </row>
    <row r="87" s="4" customFormat="1" ht="24.95" customHeight="1" spans="1:10">
      <c r="A87" s="20">
        <v>81</v>
      </c>
      <c r="B87" s="20"/>
      <c r="C87" s="39" t="s">
        <v>889</v>
      </c>
      <c r="D87" s="39" t="s">
        <v>273</v>
      </c>
      <c r="E87" s="40">
        <v>12215</v>
      </c>
      <c r="F87" s="39" t="s">
        <v>93</v>
      </c>
      <c r="G87" s="39">
        <v>4</v>
      </c>
      <c r="H87" s="41">
        <v>2922.8503955</v>
      </c>
      <c r="I87" s="41">
        <v>11691.401582</v>
      </c>
      <c r="J87" s="20"/>
    </row>
    <row r="88" s="4" customFormat="1" ht="24.95" customHeight="1" spans="1:10">
      <c r="A88" s="20">
        <v>82</v>
      </c>
      <c r="B88" s="20"/>
      <c r="C88" s="39" t="s">
        <v>890</v>
      </c>
      <c r="D88" s="39" t="s">
        <v>117</v>
      </c>
      <c r="E88" s="40">
        <v>11667</v>
      </c>
      <c r="F88" s="39" t="s">
        <v>93</v>
      </c>
      <c r="G88" s="39">
        <v>1</v>
      </c>
      <c r="H88" s="41">
        <v>1348.145184</v>
      </c>
      <c r="I88" s="41">
        <v>1348.145184</v>
      </c>
      <c r="J88" s="20"/>
    </row>
    <row r="89" s="4" customFormat="1" ht="24.95" customHeight="1" spans="1:10">
      <c r="A89" s="20">
        <v>83</v>
      </c>
      <c r="B89" s="20"/>
      <c r="C89" s="39" t="s">
        <v>891</v>
      </c>
      <c r="D89" s="39" t="s">
        <v>104</v>
      </c>
      <c r="E89" s="40">
        <v>9167</v>
      </c>
      <c r="F89" s="39" t="s">
        <v>93</v>
      </c>
      <c r="G89" s="39">
        <v>1</v>
      </c>
      <c r="H89" s="41">
        <v>449.036328</v>
      </c>
      <c r="I89" s="41">
        <v>449.036328</v>
      </c>
      <c r="J89" s="20"/>
    </row>
    <row r="90" s="4" customFormat="1" ht="24.95" customHeight="1" spans="1:10">
      <c r="A90" s="20">
        <v>84</v>
      </c>
      <c r="B90" s="20"/>
      <c r="C90" s="39" t="s">
        <v>892</v>
      </c>
      <c r="D90" s="39" t="s">
        <v>104</v>
      </c>
      <c r="E90" s="40">
        <v>7403</v>
      </c>
      <c r="F90" s="39" t="s">
        <v>93</v>
      </c>
      <c r="G90" s="39">
        <v>1</v>
      </c>
      <c r="H90" s="41">
        <v>362.628552</v>
      </c>
      <c r="I90" s="41">
        <v>362.628552</v>
      </c>
      <c r="J90" s="20"/>
    </row>
    <row r="91" s="4" customFormat="1" ht="24.95" customHeight="1" spans="1:10">
      <c r="A91" s="20">
        <v>85</v>
      </c>
      <c r="B91" s="20"/>
      <c r="C91" s="39" t="s">
        <v>893</v>
      </c>
      <c r="D91" s="39" t="s">
        <v>104</v>
      </c>
      <c r="E91" s="40">
        <v>8547</v>
      </c>
      <c r="F91" s="39" t="s">
        <v>93</v>
      </c>
      <c r="G91" s="39">
        <v>2</v>
      </c>
      <c r="H91" s="41">
        <v>418.666248</v>
      </c>
      <c r="I91" s="41">
        <v>837.332496</v>
      </c>
      <c r="J91" s="20"/>
    </row>
    <row r="92" s="4" customFormat="1" ht="24.95" customHeight="1" spans="1:10">
      <c r="A92" s="20">
        <v>86</v>
      </c>
      <c r="B92" s="20"/>
      <c r="C92" s="39" t="s">
        <v>894</v>
      </c>
      <c r="D92" s="39" t="s">
        <v>104</v>
      </c>
      <c r="E92" s="40">
        <v>6196</v>
      </c>
      <c r="F92" s="39" t="s">
        <v>93</v>
      </c>
      <c r="G92" s="39">
        <v>6</v>
      </c>
      <c r="H92" s="41">
        <v>303.504864</v>
      </c>
      <c r="I92" s="41">
        <v>1821.029184</v>
      </c>
      <c r="J92" s="20"/>
    </row>
    <row r="93" s="4" customFormat="1" ht="24.95" customHeight="1" spans="1:10">
      <c r="A93" s="20">
        <v>87</v>
      </c>
      <c r="B93" s="20"/>
      <c r="C93" s="39" t="s">
        <v>895</v>
      </c>
      <c r="D93" s="39" t="s">
        <v>109</v>
      </c>
      <c r="E93" s="40">
        <v>7607</v>
      </c>
      <c r="F93" s="39" t="s">
        <v>93</v>
      </c>
      <c r="G93" s="39">
        <v>2</v>
      </c>
      <c r="H93" s="41">
        <v>370.7104096</v>
      </c>
      <c r="I93" s="41">
        <v>741.4208192</v>
      </c>
      <c r="J93" s="20"/>
    </row>
    <row r="94" s="4" customFormat="1" ht="24.95" customHeight="1" spans="1:10">
      <c r="A94" s="20">
        <v>88</v>
      </c>
      <c r="B94" s="20"/>
      <c r="C94" s="39" t="s">
        <v>896</v>
      </c>
      <c r="D94" s="39" t="s">
        <v>109</v>
      </c>
      <c r="E94" s="40">
        <v>5361</v>
      </c>
      <c r="F94" s="39" t="s">
        <v>93</v>
      </c>
      <c r="G94" s="39">
        <v>1</v>
      </c>
      <c r="H94" s="41">
        <v>261.2565408</v>
      </c>
      <c r="I94" s="41">
        <v>261.2565408</v>
      </c>
      <c r="J94" s="20"/>
    </row>
    <row r="95" s="4" customFormat="1" ht="24.95" customHeight="1" spans="1:10">
      <c r="A95" s="20">
        <v>89</v>
      </c>
      <c r="B95" s="20"/>
      <c r="C95" s="39" t="s">
        <v>897</v>
      </c>
      <c r="D95" s="39" t="s">
        <v>109</v>
      </c>
      <c r="E95" s="40">
        <v>9919</v>
      </c>
      <c r="F95" s="39" t="s">
        <v>93</v>
      </c>
      <c r="G95" s="39">
        <v>1</v>
      </c>
      <c r="H95" s="41">
        <v>483.3806432</v>
      </c>
      <c r="I95" s="41">
        <v>483.3806432</v>
      </c>
      <c r="J95" s="20"/>
    </row>
    <row r="96" s="4" customFormat="1" ht="24.95" customHeight="1" spans="1:10">
      <c r="A96" s="20">
        <v>90</v>
      </c>
      <c r="B96" s="20"/>
      <c r="C96" s="39" t="s">
        <v>898</v>
      </c>
      <c r="D96" s="39" t="s">
        <v>92</v>
      </c>
      <c r="E96" s="40">
        <v>10811</v>
      </c>
      <c r="F96" s="39" t="s">
        <v>93</v>
      </c>
      <c r="G96" s="39">
        <v>1</v>
      </c>
      <c r="H96" s="41">
        <v>1743.154829</v>
      </c>
      <c r="I96" s="41">
        <v>1743.154829</v>
      </c>
      <c r="J96" s="20"/>
    </row>
    <row r="97" s="4" customFormat="1" ht="24.95" customHeight="1" spans="1:10">
      <c r="A97" s="20">
        <v>91</v>
      </c>
      <c r="B97" s="20"/>
      <c r="C97" s="39" t="s">
        <v>899</v>
      </c>
      <c r="D97" s="39" t="s">
        <v>92</v>
      </c>
      <c r="E97" s="40">
        <v>5140</v>
      </c>
      <c r="F97" s="39" t="s">
        <v>93</v>
      </c>
      <c r="G97" s="39">
        <v>1</v>
      </c>
      <c r="H97" s="41">
        <v>828.76846</v>
      </c>
      <c r="I97" s="41">
        <v>828.76846</v>
      </c>
      <c r="J97" s="20"/>
    </row>
    <row r="98" s="4" customFormat="1" ht="24.95" customHeight="1" spans="1:10">
      <c r="A98" s="20">
        <v>92</v>
      </c>
      <c r="B98" s="20"/>
      <c r="C98" s="39" t="s">
        <v>900</v>
      </c>
      <c r="D98" s="39" t="s">
        <v>314</v>
      </c>
      <c r="E98" s="40">
        <v>16985</v>
      </c>
      <c r="F98" s="39" t="s">
        <v>93</v>
      </c>
      <c r="G98" s="39">
        <v>1</v>
      </c>
      <c r="H98" s="41">
        <v>2964.242582</v>
      </c>
      <c r="I98" s="41">
        <v>2964.242582</v>
      </c>
      <c r="J98" s="20"/>
    </row>
    <row r="99" s="4" customFormat="1" ht="24.95" customHeight="1" spans="1:10">
      <c r="A99" s="20">
        <v>93</v>
      </c>
      <c r="B99" s="20"/>
      <c r="C99" s="39" t="s">
        <v>901</v>
      </c>
      <c r="D99" s="39" t="s">
        <v>314</v>
      </c>
      <c r="E99" s="40">
        <v>12215</v>
      </c>
      <c r="F99" s="39" t="s">
        <v>93</v>
      </c>
      <c r="G99" s="39">
        <v>1</v>
      </c>
      <c r="H99" s="41">
        <v>2131.776458</v>
      </c>
      <c r="I99" s="41">
        <v>2131.776458</v>
      </c>
      <c r="J99" s="20"/>
    </row>
    <row r="100" s="4" customFormat="1" ht="24.95" customHeight="1" spans="1:10">
      <c r="A100" s="20">
        <v>94</v>
      </c>
      <c r="B100" s="20"/>
      <c r="C100" s="39" t="s">
        <v>902</v>
      </c>
      <c r="D100" s="39" t="s">
        <v>251</v>
      </c>
      <c r="E100" s="40">
        <v>7627</v>
      </c>
      <c r="F100" s="39" t="s">
        <v>93</v>
      </c>
      <c r="G100" s="39">
        <v>2</v>
      </c>
      <c r="H100" s="41">
        <v>340.072676</v>
      </c>
      <c r="I100" s="41">
        <v>680.145352</v>
      </c>
      <c r="J100" s="20"/>
    </row>
    <row r="101" s="4" customFormat="1" ht="24.95" customHeight="1" spans="1:10">
      <c r="A101" s="20">
        <v>95</v>
      </c>
      <c r="B101" s="20"/>
      <c r="C101" s="39" t="s">
        <v>903</v>
      </c>
      <c r="D101" s="39" t="s">
        <v>251</v>
      </c>
      <c r="E101" s="40">
        <v>6194</v>
      </c>
      <c r="F101" s="39" t="s">
        <v>93</v>
      </c>
      <c r="G101" s="39">
        <v>5</v>
      </c>
      <c r="H101" s="41">
        <v>276.178072</v>
      </c>
      <c r="I101" s="41">
        <v>1380.89036</v>
      </c>
      <c r="J101" s="20"/>
    </row>
    <row r="102" s="4" customFormat="1" ht="24.95" customHeight="1" spans="1:10">
      <c r="A102" s="20">
        <v>96</v>
      </c>
      <c r="B102" s="20"/>
      <c r="C102" s="39" t="s">
        <v>904</v>
      </c>
      <c r="D102" s="39" t="s">
        <v>251</v>
      </c>
      <c r="E102" s="40">
        <v>11349</v>
      </c>
      <c r="F102" s="39" t="s">
        <v>93</v>
      </c>
      <c r="G102" s="39">
        <v>1</v>
      </c>
      <c r="H102" s="41">
        <v>506.029212</v>
      </c>
      <c r="I102" s="41">
        <v>506.029212</v>
      </c>
      <c r="J102" s="20"/>
    </row>
    <row r="103" s="4" customFormat="1" ht="24.95" customHeight="1" spans="1:10">
      <c r="A103" s="20">
        <v>97</v>
      </c>
      <c r="B103" s="20"/>
      <c r="C103" s="39" t="s">
        <v>905</v>
      </c>
      <c r="D103" s="39" t="s">
        <v>251</v>
      </c>
      <c r="E103" s="40">
        <v>8559</v>
      </c>
      <c r="F103" s="39" t="s">
        <v>93</v>
      </c>
      <c r="G103" s="39">
        <v>2</v>
      </c>
      <c r="H103" s="41">
        <v>381.628692</v>
      </c>
      <c r="I103" s="41">
        <v>763.257384</v>
      </c>
      <c r="J103" s="20"/>
    </row>
    <row r="104" s="31" customFormat="1" ht="24.95" customHeight="1" spans="1:11">
      <c r="A104" s="26"/>
      <c r="B104" s="42"/>
      <c r="C104" s="26"/>
      <c r="D104" s="26"/>
      <c r="E104" s="27"/>
      <c r="F104" s="26" t="s">
        <v>522</v>
      </c>
      <c r="G104" s="28">
        <f>SUM(G7:G103)</f>
        <v>606</v>
      </c>
      <c r="H104" s="29"/>
      <c r="I104" s="29">
        <f>SUM(I7:I103)</f>
        <v>642007.2270205</v>
      </c>
      <c r="J104" s="26"/>
      <c r="K104" s="30" t="s">
        <v>523</v>
      </c>
    </row>
  </sheetData>
  <mergeCells count="107">
    <mergeCell ref="A1:J1"/>
    <mergeCell ref="B2:E2"/>
    <mergeCell ref="F2:J2"/>
    <mergeCell ref="A3:B3"/>
    <mergeCell ref="C3:J3"/>
    <mergeCell ref="A4:B4"/>
    <mergeCell ref="C4:J4"/>
    <mergeCell ref="A5:B5"/>
    <mergeCell ref="C5:J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</mergeCells>
  <conditionalFormatting sqref="C7:C103">
    <cfRule type="duplicateValues" dxfId="0" priority="4"/>
  </conditionalFormatting>
  <printOptions horizontalCentered="1"/>
  <pageMargins left="0.590551181102362" right="0.196850393700787" top="0.393700787401575" bottom="0.393700787401575" header="0.511811023622047" footer="0.15748031496063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indexed="10"/>
  </sheetPr>
  <dimension ref="A1:L122"/>
  <sheetViews>
    <sheetView view="pageBreakPreview" zoomScale="55" zoomScaleNormal="100" workbookViewId="0">
      <pane ySplit="6" topLeftCell="A106" activePane="bottomLeft" state="frozen"/>
      <selection/>
      <selection pane="bottomLeft" activeCell="H129" sqref="H129"/>
    </sheetView>
  </sheetViews>
  <sheetFormatPr defaultColWidth="9" defaultRowHeight="14.25"/>
  <cols>
    <col min="1" max="1" width="5.625" style="5" customWidth="1"/>
    <col min="2" max="2" width="15.625" style="6" customWidth="1"/>
    <col min="3" max="3" width="15.625" style="5" customWidth="1"/>
    <col min="4" max="4" width="20.625" style="5" customWidth="1"/>
    <col min="5" max="5" width="20.625" style="7" customWidth="1"/>
    <col min="6" max="6" width="20.625" style="8" customWidth="1"/>
    <col min="7" max="7" width="12.625" style="9" customWidth="1"/>
    <col min="8" max="8" width="20.625" style="10" customWidth="1"/>
    <col min="9" max="9" width="15.625" style="11" customWidth="1"/>
    <col min="10" max="16384" width="9" style="12"/>
  </cols>
  <sheetData>
    <row r="1" ht="30" customHeight="1" spans="1:9">
      <c r="A1" s="13" t="s">
        <v>0</v>
      </c>
      <c r="B1" s="13"/>
      <c r="C1" s="13"/>
      <c r="D1" s="13"/>
      <c r="E1" s="13"/>
      <c r="F1" s="13"/>
      <c r="G1" s="13"/>
      <c r="H1" s="14"/>
      <c r="I1" s="13"/>
    </row>
    <row r="2" ht="50.1" customHeight="1" spans="1:9">
      <c r="A2" s="15" t="str">
        <f>清单封面!E19</f>
        <v>排版清单</v>
      </c>
      <c r="B2" s="15"/>
      <c r="C2" s="15"/>
      <c r="D2" s="15"/>
      <c r="E2" s="15"/>
      <c r="F2" s="16" t="str">
        <f>清单封面!F19</f>
        <v>(仅型钢翼、腹板，未加余量)</v>
      </c>
      <c r="G2" s="16"/>
      <c r="H2" s="16"/>
      <c r="I2" s="16"/>
    </row>
    <row r="3" s="1" customFormat="1" ht="24.95" customHeight="1" spans="1:9">
      <c r="A3" s="3"/>
      <c r="B3" s="3"/>
      <c r="C3" s="17" t="s">
        <v>24</v>
      </c>
      <c r="D3" s="17"/>
      <c r="E3" s="17"/>
      <c r="F3" s="17"/>
      <c r="G3" s="17"/>
      <c r="H3" s="17"/>
      <c r="I3" s="17"/>
    </row>
    <row r="4" s="2" customFormat="1" ht="24.95" customHeight="1" spans="1:9">
      <c r="A4" s="13" t="str">
        <f>清单封面!B7</f>
        <v>工 程 名 称：</v>
      </c>
      <c r="B4" s="13"/>
      <c r="C4" s="13" t="str">
        <f>清单封面!C7</f>
        <v>第三选矿区C栋宿舍</v>
      </c>
      <c r="D4" s="13"/>
      <c r="E4" s="13"/>
      <c r="F4" s="13"/>
      <c r="G4" s="13"/>
      <c r="H4" s="13"/>
      <c r="I4" s="13"/>
    </row>
    <row r="5" s="2" customFormat="1" ht="24.95" customHeight="1" spans="1:9">
      <c r="A5" s="13" t="str">
        <f>清单封面!B8</f>
        <v>工 程 编 号：</v>
      </c>
      <c r="B5" s="13"/>
      <c r="C5" s="13" t="str">
        <f>清单封面!I19</f>
        <v>HA24575</v>
      </c>
      <c r="D5" s="13"/>
      <c r="E5" s="13"/>
      <c r="F5" s="13"/>
      <c r="G5" s="13"/>
      <c r="H5" s="13"/>
      <c r="I5" s="13"/>
    </row>
    <row r="6" s="3" customFormat="1" ht="24.95" customHeight="1" spans="1:9">
      <c r="A6" s="18" t="s">
        <v>13</v>
      </c>
      <c r="B6" s="18"/>
      <c r="C6" s="18" t="s">
        <v>808</v>
      </c>
      <c r="D6" s="18" t="s">
        <v>73</v>
      </c>
      <c r="E6" s="18" t="s">
        <v>906</v>
      </c>
      <c r="F6" s="18" t="s">
        <v>85</v>
      </c>
      <c r="G6" s="19" t="s">
        <v>72</v>
      </c>
      <c r="H6" s="19" t="s">
        <v>87</v>
      </c>
      <c r="I6" s="19" t="s">
        <v>16</v>
      </c>
    </row>
    <row r="7" s="4" customFormat="1" ht="24.95" customHeight="1" spans="1:9">
      <c r="A7" s="20">
        <v>1</v>
      </c>
      <c r="B7" s="20"/>
      <c r="C7" s="21">
        <v>6</v>
      </c>
      <c r="D7" s="21" t="s">
        <v>93</v>
      </c>
      <c r="E7" s="21">
        <v>1500</v>
      </c>
      <c r="F7" s="21">
        <v>6194</v>
      </c>
      <c r="G7" s="21">
        <v>1</v>
      </c>
      <c r="H7" s="22">
        <v>437.6061</v>
      </c>
      <c r="I7" s="21"/>
    </row>
    <row r="8" s="4" customFormat="1" ht="24.95" customHeight="1" spans="1:9">
      <c r="A8" s="20">
        <v>2</v>
      </c>
      <c r="B8" s="20"/>
      <c r="C8" s="21">
        <v>6</v>
      </c>
      <c r="D8" s="21" t="s">
        <v>93</v>
      </c>
      <c r="E8" s="21">
        <v>1500</v>
      </c>
      <c r="F8" s="21">
        <v>7627</v>
      </c>
      <c r="G8" s="21">
        <v>1</v>
      </c>
      <c r="H8" s="22">
        <v>538.84755</v>
      </c>
      <c r="I8" s="21"/>
    </row>
    <row r="9" s="4" customFormat="1" ht="24.95" customHeight="1" spans="1:9">
      <c r="A9" s="20">
        <v>3</v>
      </c>
      <c r="B9" s="20"/>
      <c r="C9" s="21">
        <v>6</v>
      </c>
      <c r="D9" s="21" t="s">
        <v>93</v>
      </c>
      <c r="E9" s="21">
        <v>1500</v>
      </c>
      <c r="F9" s="21">
        <v>11349</v>
      </c>
      <c r="G9" s="21">
        <v>1</v>
      </c>
      <c r="H9" s="22">
        <v>801.80685</v>
      </c>
      <c r="I9" s="21"/>
    </row>
    <row r="10" s="4" customFormat="1" ht="24.95" customHeight="1" spans="1:9">
      <c r="A10" s="20">
        <v>4</v>
      </c>
      <c r="B10" s="20"/>
      <c r="C10" s="23" t="s">
        <v>907</v>
      </c>
      <c r="D10" s="23"/>
      <c r="E10" s="23"/>
      <c r="F10" s="23"/>
      <c r="G10" s="23">
        <f>SUM(G7:G9)</f>
        <v>3</v>
      </c>
      <c r="H10" s="24">
        <f>SUM(H7:H9)</f>
        <v>1778.2605</v>
      </c>
      <c r="I10" s="23"/>
    </row>
    <row r="11" s="4" customFormat="1" ht="24.95" customHeight="1" spans="1:9">
      <c r="A11" s="20">
        <v>5</v>
      </c>
      <c r="B11" s="20"/>
      <c r="C11" s="21"/>
      <c r="D11" s="21"/>
      <c r="E11" s="21"/>
      <c r="F11" s="21"/>
      <c r="G11" s="21"/>
      <c r="H11" s="22"/>
      <c r="I11" s="21"/>
    </row>
    <row r="12" s="4" customFormat="1" ht="24.95" customHeight="1" spans="1:9">
      <c r="A12" s="20">
        <v>6</v>
      </c>
      <c r="B12" s="20"/>
      <c r="C12" s="21">
        <v>8</v>
      </c>
      <c r="D12" s="21" t="s">
        <v>93</v>
      </c>
      <c r="E12" s="21">
        <v>1500</v>
      </c>
      <c r="F12" s="21">
        <v>4122</v>
      </c>
      <c r="G12" s="21">
        <v>1</v>
      </c>
      <c r="H12" s="22">
        <v>388.2924</v>
      </c>
      <c r="I12" s="21"/>
    </row>
    <row r="13" s="4" customFormat="1" ht="24.95" customHeight="1" spans="1:9">
      <c r="A13" s="20">
        <v>7</v>
      </c>
      <c r="B13" s="20"/>
      <c r="C13" s="21">
        <v>8</v>
      </c>
      <c r="D13" s="21" t="s">
        <v>93</v>
      </c>
      <c r="E13" s="21">
        <v>1500</v>
      </c>
      <c r="F13" s="21">
        <v>5497</v>
      </c>
      <c r="G13" s="21">
        <v>1</v>
      </c>
      <c r="H13" s="22">
        <v>517.8174</v>
      </c>
      <c r="I13" s="21"/>
    </row>
    <row r="14" s="4" customFormat="1" ht="24.95" customHeight="1" spans="1:9">
      <c r="A14" s="20">
        <v>8</v>
      </c>
      <c r="B14" s="20"/>
      <c r="C14" s="21">
        <v>8</v>
      </c>
      <c r="D14" s="21" t="s">
        <v>93</v>
      </c>
      <c r="E14" s="21">
        <v>1500</v>
      </c>
      <c r="F14" s="21">
        <v>5763</v>
      </c>
      <c r="G14" s="21">
        <v>1</v>
      </c>
      <c r="H14" s="22">
        <v>542.8746</v>
      </c>
      <c r="I14" s="21"/>
    </row>
    <row r="15" s="4" customFormat="1" ht="24.95" customHeight="1" spans="1:9">
      <c r="A15" s="20">
        <v>9</v>
      </c>
      <c r="B15" s="20"/>
      <c r="C15" s="21">
        <v>8</v>
      </c>
      <c r="D15" s="21" t="s">
        <v>93</v>
      </c>
      <c r="E15" s="21">
        <v>1500</v>
      </c>
      <c r="F15" s="21">
        <v>6196</v>
      </c>
      <c r="G15" s="21">
        <v>1</v>
      </c>
      <c r="H15" s="22">
        <v>583.6632</v>
      </c>
      <c r="I15" s="21"/>
    </row>
    <row r="16" s="4" customFormat="1" ht="24.95" customHeight="1" spans="1:9">
      <c r="A16" s="20">
        <v>10</v>
      </c>
      <c r="B16" s="20"/>
      <c r="C16" s="21">
        <v>8</v>
      </c>
      <c r="D16" s="21" t="s">
        <v>93</v>
      </c>
      <c r="E16" s="21">
        <v>1500</v>
      </c>
      <c r="F16" s="21">
        <v>6400</v>
      </c>
      <c r="G16" s="21">
        <v>4</v>
      </c>
      <c r="H16" s="22">
        <v>2411.52</v>
      </c>
      <c r="I16" s="21"/>
    </row>
    <row r="17" s="4" customFormat="1" ht="24.95" customHeight="1" spans="1:9">
      <c r="A17" s="20">
        <v>11</v>
      </c>
      <c r="B17" s="20"/>
      <c r="C17" s="21">
        <v>8</v>
      </c>
      <c r="D17" s="21" t="s">
        <v>93</v>
      </c>
      <c r="E17" s="21">
        <v>1500</v>
      </c>
      <c r="F17" s="21">
        <v>6517</v>
      </c>
      <c r="G17" s="21">
        <v>1</v>
      </c>
      <c r="H17" s="22">
        <v>613.9014</v>
      </c>
      <c r="I17" s="21"/>
    </row>
    <row r="18" s="4" customFormat="1" ht="24.95" customHeight="1" spans="1:9">
      <c r="A18" s="20">
        <v>12</v>
      </c>
      <c r="B18" s="20"/>
      <c r="C18" s="21">
        <v>8</v>
      </c>
      <c r="D18" s="21" t="s">
        <v>93</v>
      </c>
      <c r="E18" s="21">
        <v>1500</v>
      </c>
      <c r="F18" s="21">
        <v>7403</v>
      </c>
      <c r="G18" s="21">
        <v>1</v>
      </c>
      <c r="H18" s="22">
        <v>697.3626</v>
      </c>
      <c r="I18" s="21"/>
    </row>
    <row r="19" s="4" customFormat="1" ht="24.95" customHeight="1" spans="1:9">
      <c r="A19" s="20">
        <v>13</v>
      </c>
      <c r="B19" s="20"/>
      <c r="C19" s="21">
        <v>8</v>
      </c>
      <c r="D19" s="21" t="s">
        <v>93</v>
      </c>
      <c r="E19" s="21">
        <v>1500</v>
      </c>
      <c r="F19" s="21">
        <v>7607</v>
      </c>
      <c r="G19" s="21">
        <v>1</v>
      </c>
      <c r="H19" s="22">
        <v>716.5794</v>
      </c>
      <c r="I19" s="21"/>
    </row>
    <row r="20" s="4" customFormat="1" ht="24.95" customHeight="1" spans="1:9">
      <c r="A20" s="20">
        <v>14</v>
      </c>
      <c r="B20" s="20"/>
      <c r="C20" s="21">
        <v>8</v>
      </c>
      <c r="D20" s="21" t="s">
        <v>93</v>
      </c>
      <c r="E20" s="21">
        <v>1500</v>
      </c>
      <c r="F20" s="21">
        <v>7731</v>
      </c>
      <c r="G20" s="21">
        <v>1</v>
      </c>
      <c r="H20" s="22">
        <v>728.2602</v>
      </c>
      <c r="I20" s="21"/>
    </row>
    <row r="21" s="4" customFormat="1" ht="24.95" customHeight="1" spans="1:9">
      <c r="A21" s="20">
        <v>15</v>
      </c>
      <c r="B21" s="20"/>
      <c r="C21" s="21">
        <v>8</v>
      </c>
      <c r="D21" s="21" t="s">
        <v>93</v>
      </c>
      <c r="E21" s="21">
        <v>1500</v>
      </c>
      <c r="F21" s="21">
        <v>8046</v>
      </c>
      <c r="G21" s="21">
        <v>12</v>
      </c>
      <c r="H21" s="22">
        <v>9095.1984</v>
      </c>
      <c r="I21" s="21"/>
    </row>
    <row r="22" s="4" customFormat="1" ht="24.95" customHeight="1" spans="1:9">
      <c r="A22" s="20">
        <v>16</v>
      </c>
      <c r="B22" s="20"/>
      <c r="C22" s="21">
        <v>8</v>
      </c>
      <c r="D22" s="21" t="s">
        <v>93</v>
      </c>
      <c r="E22" s="21">
        <v>1500</v>
      </c>
      <c r="F22" s="21">
        <v>8547</v>
      </c>
      <c r="G22" s="21">
        <v>1</v>
      </c>
      <c r="H22" s="22">
        <v>805.1274</v>
      </c>
      <c r="I22" s="21"/>
    </row>
    <row r="23" s="4" customFormat="1" ht="24.95" customHeight="1" spans="1:9">
      <c r="A23" s="20">
        <v>17</v>
      </c>
      <c r="B23" s="20"/>
      <c r="C23" s="21">
        <v>8</v>
      </c>
      <c r="D23" s="21" t="s">
        <v>93</v>
      </c>
      <c r="E23" s="21">
        <v>1500</v>
      </c>
      <c r="F23" s="21">
        <v>9045</v>
      </c>
      <c r="G23" s="21">
        <v>1</v>
      </c>
      <c r="H23" s="22">
        <v>852.039</v>
      </c>
      <c r="I23" s="21"/>
    </row>
    <row r="24" s="4" customFormat="1" ht="24.95" customHeight="1" spans="1:9">
      <c r="A24" s="20">
        <v>18</v>
      </c>
      <c r="B24" s="20"/>
      <c r="C24" s="21">
        <v>8</v>
      </c>
      <c r="D24" s="21" t="s">
        <v>93</v>
      </c>
      <c r="E24" s="21">
        <v>1500</v>
      </c>
      <c r="F24" s="21">
        <v>9729</v>
      </c>
      <c r="G24" s="21">
        <v>1</v>
      </c>
      <c r="H24" s="22">
        <v>916.4718</v>
      </c>
      <c r="I24" s="21"/>
    </row>
    <row r="25" s="4" customFormat="1" ht="24.95" customHeight="1" spans="1:9">
      <c r="A25" s="20">
        <v>19</v>
      </c>
      <c r="B25" s="20"/>
      <c r="C25" s="21">
        <v>8</v>
      </c>
      <c r="D25" s="21" t="s">
        <v>93</v>
      </c>
      <c r="E25" s="21">
        <v>1500</v>
      </c>
      <c r="F25" s="21">
        <v>10465</v>
      </c>
      <c r="G25" s="21">
        <v>1</v>
      </c>
      <c r="H25" s="22">
        <v>985.803</v>
      </c>
      <c r="I25" s="21"/>
    </row>
    <row r="26" s="4" customFormat="1" ht="24.95" customHeight="1" spans="1:9">
      <c r="A26" s="20">
        <v>20</v>
      </c>
      <c r="B26" s="20"/>
      <c r="C26" s="21">
        <v>8</v>
      </c>
      <c r="D26" s="21" t="s">
        <v>93</v>
      </c>
      <c r="E26" s="21">
        <v>1500</v>
      </c>
      <c r="F26" s="21">
        <v>10729</v>
      </c>
      <c r="G26" s="21">
        <v>1</v>
      </c>
      <c r="H26" s="22">
        <v>1010.6718</v>
      </c>
      <c r="I26" s="21"/>
    </row>
    <row r="27" s="4" customFormat="1" ht="24.95" customHeight="1" spans="1:9">
      <c r="A27" s="20">
        <v>21</v>
      </c>
      <c r="B27" s="20"/>
      <c r="C27" s="21">
        <v>8</v>
      </c>
      <c r="D27" s="21" t="s">
        <v>93</v>
      </c>
      <c r="E27" s="21">
        <v>1500</v>
      </c>
      <c r="F27" s="21">
        <v>11129</v>
      </c>
      <c r="G27" s="21">
        <v>12</v>
      </c>
      <c r="H27" s="22">
        <v>12580.2216</v>
      </c>
      <c r="I27" s="21"/>
    </row>
    <row r="28" s="4" customFormat="1" ht="24.95" customHeight="1" spans="1:9">
      <c r="A28" s="20">
        <v>22</v>
      </c>
      <c r="B28" s="20"/>
      <c r="C28" s="21">
        <v>8</v>
      </c>
      <c r="D28" s="21" t="s">
        <v>93</v>
      </c>
      <c r="E28" s="21">
        <v>1500</v>
      </c>
      <c r="F28" s="21">
        <v>11197</v>
      </c>
      <c r="G28" s="21">
        <v>1</v>
      </c>
      <c r="H28" s="22">
        <v>1054.7574</v>
      </c>
      <c r="I28" s="21"/>
    </row>
    <row r="29" s="4" customFormat="1" ht="24.95" customHeight="1" spans="1:9">
      <c r="A29" s="20">
        <v>23</v>
      </c>
      <c r="B29" s="20"/>
      <c r="C29" s="21">
        <v>8</v>
      </c>
      <c r="D29" s="21" t="s">
        <v>93</v>
      </c>
      <c r="E29" s="21">
        <v>1500</v>
      </c>
      <c r="F29" s="21">
        <v>11239</v>
      </c>
      <c r="G29" s="21">
        <v>1</v>
      </c>
      <c r="H29" s="22">
        <v>1058.7138</v>
      </c>
      <c r="I29" s="21"/>
    </row>
    <row r="30" s="4" customFormat="1" ht="24.95" customHeight="1" spans="1:9">
      <c r="A30" s="20">
        <v>24</v>
      </c>
      <c r="B30" s="20"/>
      <c r="C30" s="21">
        <v>8</v>
      </c>
      <c r="D30" s="21" t="s">
        <v>93</v>
      </c>
      <c r="E30" s="21">
        <v>1500</v>
      </c>
      <c r="F30" s="21">
        <v>11529</v>
      </c>
      <c r="G30" s="21">
        <v>1</v>
      </c>
      <c r="H30" s="22">
        <v>1086.0318</v>
      </c>
      <c r="I30" s="21"/>
    </row>
    <row r="31" s="4" customFormat="1" ht="24.95" customHeight="1" spans="1:9">
      <c r="A31" s="20">
        <v>25</v>
      </c>
      <c r="B31" s="20"/>
      <c r="C31" s="23" t="s">
        <v>908</v>
      </c>
      <c r="D31" s="23"/>
      <c r="E31" s="23"/>
      <c r="F31" s="23"/>
      <c r="G31" s="23">
        <f>SUM(G12:G30)</f>
        <v>44</v>
      </c>
      <c r="H31" s="24">
        <f>SUM(H12:H30)</f>
        <v>36645.3072</v>
      </c>
      <c r="I31" s="23"/>
    </row>
    <row r="32" s="4" customFormat="1" ht="24.95" customHeight="1" spans="1:9">
      <c r="A32" s="20">
        <v>26</v>
      </c>
      <c r="B32" s="20"/>
      <c r="C32" s="21"/>
      <c r="D32" s="21"/>
      <c r="E32" s="21"/>
      <c r="F32" s="21"/>
      <c r="G32" s="21"/>
      <c r="H32" s="22"/>
      <c r="I32" s="21"/>
    </row>
    <row r="33" s="4" customFormat="1" ht="24.95" customHeight="1" spans="1:9">
      <c r="A33" s="20">
        <v>27</v>
      </c>
      <c r="B33" s="20"/>
      <c r="C33" s="21">
        <v>10</v>
      </c>
      <c r="D33" s="21" t="s">
        <v>93</v>
      </c>
      <c r="E33" s="21">
        <v>1500</v>
      </c>
      <c r="F33" s="21">
        <v>6196</v>
      </c>
      <c r="G33" s="21">
        <v>2</v>
      </c>
      <c r="H33" s="22">
        <v>1459.158</v>
      </c>
      <c r="I33" s="21"/>
    </row>
    <row r="34" s="4" customFormat="1" ht="24.95" customHeight="1" spans="1:9">
      <c r="A34" s="20">
        <v>28</v>
      </c>
      <c r="B34" s="20"/>
      <c r="C34" s="21">
        <v>10</v>
      </c>
      <c r="D34" s="21" t="s">
        <v>93</v>
      </c>
      <c r="E34" s="21">
        <v>1500</v>
      </c>
      <c r="F34" s="21">
        <v>6258</v>
      </c>
      <c r="G34" s="21">
        <v>1</v>
      </c>
      <c r="H34" s="22">
        <v>736.8795</v>
      </c>
      <c r="I34" s="21"/>
    </row>
    <row r="35" s="4" customFormat="1" ht="24.95" customHeight="1" spans="1:9">
      <c r="A35" s="20">
        <v>29</v>
      </c>
      <c r="B35" s="20"/>
      <c r="C35" s="21">
        <v>10</v>
      </c>
      <c r="D35" s="21" t="s">
        <v>93</v>
      </c>
      <c r="E35" s="21">
        <v>1500</v>
      </c>
      <c r="F35" s="21">
        <v>6400</v>
      </c>
      <c r="G35" s="21">
        <v>5</v>
      </c>
      <c r="H35" s="22">
        <v>3768</v>
      </c>
      <c r="I35" s="21"/>
    </row>
    <row r="36" s="4" customFormat="1" ht="24.95" customHeight="1" spans="1:9">
      <c r="A36" s="20">
        <v>30</v>
      </c>
      <c r="B36" s="20"/>
      <c r="C36" s="21">
        <v>10</v>
      </c>
      <c r="D36" s="21" t="s">
        <v>93</v>
      </c>
      <c r="E36" s="21">
        <v>1500</v>
      </c>
      <c r="F36" s="21">
        <v>6461</v>
      </c>
      <c r="G36" s="21">
        <v>2</v>
      </c>
      <c r="H36" s="22">
        <v>1521.5655</v>
      </c>
      <c r="I36" s="21"/>
    </row>
    <row r="37" s="4" customFormat="1" ht="24.95" customHeight="1" spans="1:9">
      <c r="A37" s="20">
        <v>31</v>
      </c>
      <c r="B37" s="20"/>
      <c r="C37" s="21">
        <v>10</v>
      </c>
      <c r="D37" s="21" t="s">
        <v>93</v>
      </c>
      <c r="E37" s="21">
        <v>1500</v>
      </c>
      <c r="F37" s="21">
        <v>7403</v>
      </c>
      <c r="G37" s="21">
        <v>1</v>
      </c>
      <c r="H37" s="22">
        <v>871.70325</v>
      </c>
      <c r="I37" s="21"/>
    </row>
    <row r="38" s="4" customFormat="1" ht="24.95" customHeight="1" spans="1:9">
      <c r="A38" s="20">
        <v>32</v>
      </c>
      <c r="B38" s="20"/>
      <c r="C38" s="21">
        <v>10</v>
      </c>
      <c r="D38" s="21" t="s">
        <v>93</v>
      </c>
      <c r="E38" s="21">
        <v>1500</v>
      </c>
      <c r="F38" s="21">
        <v>7627</v>
      </c>
      <c r="G38" s="21">
        <v>1</v>
      </c>
      <c r="H38" s="22">
        <v>898.07925</v>
      </c>
      <c r="I38" s="21"/>
    </row>
    <row r="39" s="4" customFormat="1" ht="24.95" customHeight="1" spans="1:9">
      <c r="A39" s="20">
        <v>33</v>
      </c>
      <c r="B39" s="20"/>
      <c r="C39" s="21">
        <v>10</v>
      </c>
      <c r="D39" s="21" t="s">
        <v>93</v>
      </c>
      <c r="E39" s="21">
        <v>1500</v>
      </c>
      <c r="F39" s="21">
        <v>7731</v>
      </c>
      <c r="G39" s="21">
        <v>1</v>
      </c>
      <c r="H39" s="22">
        <v>910.32525</v>
      </c>
      <c r="I39" s="21"/>
    </row>
    <row r="40" s="4" customFormat="1" ht="24.95" customHeight="1" spans="1:9">
      <c r="A40" s="20">
        <v>34</v>
      </c>
      <c r="B40" s="20"/>
      <c r="C40" s="21">
        <v>10</v>
      </c>
      <c r="D40" s="21" t="s">
        <v>93</v>
      </c>
      <c r="E40" s="21">
        <v>1500</v>
      </c>
      <c r="F40" s="21">
        <v>8046</v>
      </c>
      <c r="G40" s="21">
        <v>17</v>
      </c>
      <c r="H40" s="22">
        <v>16106.0805</v>
      </c>
      <c r="I40" s="21"/>
    </row>
    <row r="41" s="4" customFormat="1" ht="24.95" customHeight="1" spans="1:9">
      <c r="A41" s="20">
        <v>35</v>
      </c>
      <c r="B41" s="20"/>
      <c r="C41" s="21">
        <v>10</v>
      </c>
      <c r="D41" s="21" t="s">
        <v>93</v>
      </c>
      <c r="E41" s="21">
        <v>1500</v>
      </c>
      <c r="F41" s="21">
        <v>8389</v>
      </c>
      <c r="G41" s="21">
        <v>1</v>
      </c>
      <c r="H41" s="22">
        <v>987.80475</v>
      </c>
      <c r="I41" s="21"/>
    </row>
    <row r="42" s="4" customFormat="1" ht="24.95" customHeight="1" spans="1:9">
      <c r="A42" s="20">
        <v>36</v>
      </c>
      <c r="B42" s="20"/>
      <c r="C42" s="21">
        <v>10</v>
      </c>
      <c r="D42" s="21" t="s">
        <v>93</v>
      </c>
      <c r="E42" s="21">
        <v>1500</v>
      </c>
      <c r="F42" s="21">
        <v>8529</v>
      </c>
      <c r="G42" s="21">
        <v>1</v>
      </c>
      <c r="H42" s="22">
        <v>1004.28975</v>
      </c>
      <c r="I42" s="21"/>
    </row>
    <row r="43" s="4" customFormat="1" ht="24.95" customHeight="1" spans="1:9">
      <c r="A43" s="20">
        <v>37</v>
      </c>
      <c r="B43" s="20"/>
      <c r="C43" s="21">
        <v>10</v>
      </c>
      <c r="D43" s="21" t="s">
        <v>93</v>
      </c>
      <c r="E43" s="21">
        <v>1500</v>
      </c>
      <c r="F43" s="21">
        <v>8547</v>
      </c>
      <c r="G43" s="21">
        <v>1</v>
      </c>
      <c r="H43" s="22">
        <v>1006.40925</v>
      </c>
      <c r="I43" s="21"/>
    </row>
    <row r="44" s="4" customFormat="1" ht="24.95" customHeight="1" spans="1:9">
      <c r="A44" s="20">
        <v>38</v>
      </c>
      <c r="B44" s="20"/>
      <c r="C44" s="21">
        <v>10</v>
      </c>
      <c r="D44" s="21" t="s">
        <v>93</v>
      </c>
      <c r="E44" s="21">
        <v>1500</v>
      </c>
      <c r="F44" s="21">
        <v>8559</v>
      </c>
      <c r="G44" s="21">
        <v>1</v>
      </c>
      <c r="H44" s="22">
        <v>1007.82225</v>
      </c>
      <c r="I44" s="21"/>
    </row>
    <row r="45" s="4" customFormat="1" ht="24.95" customHeight="1" spans="1:9">
      <c r="A45" s="20">
        <v>39</v>
      </c>
      <c r="B45" s="20"/>
      <c r="C45" s="21">
        <v>10</v>
      </c>
      <c r="D45" s="21" t="s">
        <v>93</v>
      </c>
      <c r="E45" s="21">
        <v>1500</v>
      </c>
      <c r="F45" s="21">
        <v>9425</v>
      </c>
      <c r="G45" s="21">
        <v>1</v>
      </c>
      <c r="H45" s="22">
        <v>1109.79375</v>
      </c>
      <c r="I45" s="21"/>
    </row>
    <row r="46" s="4" customFormat="1" ht="24.95" customHeight="1" spans="1:9">
      <c r="A46" s="20">
        <v>40</v>
      </c>
      <c r="B46" s="20"/>
      <c r="C46" s="21">
        <v>10</v>
      </c>
      <c r="D46" s="21" t="s">
        <v>93</v>
      </c>
      <c r="E46" s="21">
        <v>1500</v>
      </c>
      <c r="F46" s="21">
        <v>10662</v>
      </c>
      <c r="G46" s="21">
        <v>2</v>
      </c>
      <c r="H46" s="22">
        <v>2510.901</v>
      </c>
      <c r="I46" s="21"/>
    </row>
    <row r="47" s="4" customFormat="1" ht="24.95" customHeight="1" spans="1:9">
      <c r="A47" s="20">
        <v>41</v>
      </c>
      <c r="B47" s="20"/>
      <c r="C47" s="21">
        <v>10</v>
      </c>
      <c r="D47" s="21" t="s">
        <v>93</v>
      </c>
      <c r="E47" s="21">
        <v>1500</v>
      </c>
      <c r="F47" s="21">
        <v>10729</v>
      </c>
      <c r="G47" s="21">
        <v>1</v>
      </c>
      <c r="H47" s="22">
        <v>1263.33975</v>
      </c>
      <c r="I47" s="21"/>
    </row>
    <row r="48" s="4" customFormat="1" ht="24.95" customHeight="1" spans="1:9">
      <c r="A48" s="20">
        <v>42</v>
      </c>
      <c r="B48" s="20"/>
      <c r="C48" s="21">
        <v>10</v>
      </c>
      <c r="D48" s="21" t="s">
        <v>93</v>
      </c>
      <c r="E48" s="21">
        <v>1500</v>
      </c>
      <c r="F48" s="21">
        <v>11129</v>
      </c>
      <c r="G48" s="21">
        <v>11</v>
      </c>
      <c r="H48" s="22">
        <v>14414.83725</v>
      </c>
      <c r="I48" s="21"/>
    </row>
    <row r="49" s="4" customFormat="1" ht="24.95" customHeight="1" spans="1:9">
      <c r="A49" s="20">
        <v>43</v>
      </c>
      <c r="B49" s="20"/>
      <c r="C49" s="21">
        <v>10</v>
      </c>
      <c r="D49" s="21" t="s">
        <v>93</v>
      </c>
      <c r="E49" s="21">
        <v>1500</v>
      </c>
      <c r="F49" s="21">
        <v>11276</v>
      </c>
      <c r="G49" s="21">
        <v>1</v>
      </c>
      <c r="H49" s="22">
        <v>1327.749</v>
      </c>
      <c r="I49" s="21"/>
    </row>
    <row r="50" s="4" customFormat="1" ht="24.95" customHeight="1" spans="1:9">
      <c r="A50" s="20">
        <v>44</v>
      </c>
      <c r="B50" s="20"/>
      <c r="C50" s="21">
        <v>10</v>
      </c>
      <c r="D50" s="21" t="s">
        <v>93</v>
      </c>
      <c r="E50" s="21">
        <v>1500</v>
      </c>
      <c r="F50" s="21">
        <v>11557</v>
      </c>
      <c r="G50" s="21">
        <v>7</v>
      </c>
      <c r="H50" s="22">
        <v>9525.85725</v>
      </c>
      <c r="I50" s="21"/>
    </row>
    <row r="51" s="4" customFormat="1" ht="24.95" customHeight="1" spans="1:9">
      <c r="A51" s="20">
        <v>45</v>
      </c>
      <c r="B51" s="20"/>
      <c r="C51" s="21">
        <v>10</v>
      </c>
      <c r="D51" s="21" t="s">
        <v>93</v>
      </c>
      <c r="E51" s="21">
        <v>1500</v>
      </c>
      <c r="F51" s="21">
        <v>11721</v>
      </c>
      <c r="G51" s="21">
        <v>1</v>
      </c>
      <c r="H51" s="22">
        <v>1380.14775</v>
      </c>
      <c r="I51" s="21"/>
    </row>
    <row r="52" s="4" customFormat="1" ht="24.95" customHeight="1" spans="1:9">
      <c r="A52" s="20">
        <v>46</v>
      </c>
      <c r="B52" s="20"/>
      <c r="C52" s="21">
        <v>10</v>
      </c>
      <c r="D52" s="21" t="s">
        <v>93</v>
      </c>
      <c r="E52" s="21">
        <v>1500</v>
      </c>
      <c r="F52" s="21">
        <v>20485</v>
      </c>
      <c r="G52" s="21">
        <v>2</v>
      </c>
      <c r="H52" s="22">
        <v>4824.2175</v>
      </c>
      <c r="I52" s="21"/>
    </row>
    <row r="53" s="4" customFormat="1" ht="24.95" customHeight="1" spans="1:9">
      <c r="A53" s="20">
        <v>47</v>
      </c>
      <c r="B53" s="20"/>
      <c r="C53" s="23" t="s">
        <v>909</v>
      </c>
      <c r="D53" s="23"/>
      <c r="E53" s="23"/>
      <c r="F53" s="23"/>
      <c r="G53" s="23">
        <f>SUM(G33:G52)</f>
        <v>60</v>
      </c>
      <c r="H53" s="24">
        <f>SUM(H33:H52)</f>
        <v>66634.9605</v>
      </c>
      <c r="I53" s="23"/>
    </row>
    <row r="54" s="4" customFormat="1" ht="24.95" customHeight="1" spans="1:9">
      <c r="A54" s="20">
        <v>48</v>
      </c>
      <c r="B54" s="20"/>
      <c r="C54" s="21"/>
      <c r="D54" s="21"/>
      <c r="E54" s="21"/>
      <c r="F54" s="21"/>
      <c r="G54" s="21"/>
      <c r="H54" s="22"/>
      <c r="I54" s="21"/>
    </row>
    <row r="55" s="4" customFormat="1" ht="24.95" customHeight="1" spans="1:9">
      <c r="A55" s="20">
        <v>49</v>
      </c>
      <c r="B55" s="20"/>
      <c r="C55" s="21">
        <v>12</v>
      </c>
      <c r="D55" s="21" t="s">
        <v>93</v>
      </c>
      <c r="E55" s="21">
        <v>1500</v>
      </c>
      <c r="F55" s="21">
        <v>4011</v>
      </c>
      <c r="G55" s="21">
        <v>1</v>
      </c>
      <c r="H55" s="22">
        <v>566.7543</v>
      </c>
      <c r="I55" s="21"/>
    </row>
    <row r="56" s="4" customFormat="1" ht="24.95" customHeight="1" spans="1:9">
      <c r="A56" s="20">
        <v>50</v>
      </c>
      <c r="B56" s="20"/>
      <c r="C56" s="21">
        <v>12</v>
      </c>
      <c r="D56" s="21" t="s">
        <v>93</v>
      </c>
      <c r="E56" s="21">
        <v>1500</v>
      </c>
      <c r="F56" s="21">
        <v>6196</v>
      </c>
      <c r="G56" s="21">
        <v>10</v>
      </c>
      <c r="H56" s="22">
        <v>8754.948</v>
      </c>
      <c r="I56" s="21"/>
    </row>
    <row r="57" s="4" customFormat="1" ht="24.95" customHeight="1" spans="1:9">
      <c r="A57" s="20">
        <v>51</v>
      </c>
      <c r="B57" s="20"/>
      <c r="C57" s="21">
        <v>12</v>
      </c>
      <c r="D57" s="21" t="s">
        <v>93</v>
      </c>
      <c r="E57" s="21">
        <v>1500</v>
      </c>
      <c r="F57" s="21">
        <v>6970</v>
      </c>
      <c r="G57" s="21">
        <v>8</v>
      </c>
      <c r="H57" s="22">
        <v>7878.888</v>
      </c>
      <c r="I57" s="21"/>
    </row>
    <row r="58" s="4" customFormat="1" ht="24.95" customHeight="1" spans="1:9">
      <c r="A58" s="20">
        <v>52</v>
      </c>
      <c r="B58" s="20"/>
      <c r="C58" s="21">
        <v>12</v>
      </c>
      <c r="D58" s="21" t="s">
        <v>93</v>
      </c>
      <c r="E58" s="21">
        <v>1500</v>
      </c>
      <c r="F58" s="21">
        <v>8998</v>
      </c>
      <c r="G58" s="21">
        <v>9</v>
      </c>
      <c r="H58" s="22">
        <v>11442.7566</v>
      </c>
      <c r="I58" s="21"/>
    </row>
    <row r="59" s="4" customFormat="1" ht="24.95" customHeight="1" spans="1:9">
      <c r="A59" s="20">
        <v>53</v>
      </c>
      <c r="B59" s="20"/>
      <c r="C59" s="21">
        <v>12</v>
      </c>
      <c r="D59" s="21" t="s">
        <v>93</v>
      </c>
      <c r="E59" s="21">
        <v>1500</v>
      </c>
      <c r="F59" s="21">
        <v>9071</v>
      </c>
      <c r="G59" s="21">
        <v>1</v>
      </c>
      <c r="H59" s="22">
        <v>1281.7323</v>
      </c>
      <c r="I59" s="21"/>
    </row>
    <row r="60" s="4" customFormat="1" ht="24.95" customHeight="1" spans="1:9">
      <c r="A60" s="20">
        <v>54</v>
      </c>
      <c r="B60" s="20"/>
      <c r="C60" s="21">
        <v>12</v>
      </c>
      <c r="D60" s="21" t="s">
        <v>93</v>
      </c>
      <c r="E60" s="21">
        <v>1500</v>
      </c>
      <c r="F60" s="21">
        <v>9079</v>
      </c>
      <c r="G60" s="21">
        <v>1</v>
      </c>
      <c r="H60" s="22">
        <v>1282.8627</v>
      </c>
      <c r="I60" s="21"/>
    </row>
    <row r="61" s="4" customFormat="1" ht="24.95" customHeight="1" spans="1:9">
      <c r="A61" s="20">
        <v>55</v>
      </c>
      <c r="B61" s="20"/>
      <c r="C61" s="21">
        <v>12</v>
      </c>
      <c r="D61" s="21" t="s">
        <v>93</v>
      </c>
      <c r="E61" s="21">
        <v>1500</v>
      </c>
      <c r="F61" s="21">
        <v>9470</v>
      </c>
      <c r="G61" s="21">
        <v>6</v>
      </c>
      <c r="H61" s="22">
        <v>8028.666</v>
      </c>
      <c r="I61" s="21"/>
    </row>
    <row r="62" s="4" customFormat="1" ht="24.95" customHeight="1" spans="1:9">
      <c r="A62" s="20">
        <v>56</v>
      </c>
      <c r="B62" s="20"/>
      <c r="C62" s="21">
        <v>12</v>
      </c>
      <c r="D62" s="21" t="s">
        <v>93</v>
      </c>
      <c r="E62" s="21">
        <v>1500</v>
      </c>
      <c r="F62" s="21">
        <v>9545</v>
      </c>
      <c r="G62" s="21">
        <v>4</v>
      </c>
      <c r="H62" s="22">
        <v>5394.834</v>
      </c>
      <c r="I62" s="21"/>
    </row>
    <row r="63" s="4" customFormat="1" ht="24.95" customHeight="1" spans="1:9">
      <c r="A63" s="20">
        <v>57</v>
      </c>
      <c r="B63" s="20"/>
      <c r="C63" s="21">
        <v>12</v>
      </c>
      <c r="D63" s="21" t="s">
        <v>93</v>
      </c>
      <c r="E63" s="21">
        <v>1500</v>
      </c>
      <c r="F63" s="21">
        <v>9919</v>
      </c>
      <c r="G63" s="21">
        <v>2</v>
      </c>
      <c r="H63" s="22">
        <v>2803.1094</v>
      </c>
      <c r="I63" s="21"/>
    </row>
    <row r="64" s="4" customFormat="1" ht="24.95" customHeight="1" spans="1:9">
      <c r="A64" s="20">
        <v>58</v>
      </c>
      <c r="B64" s="20"/>
      <c r="C64" s="21">
        <v>12</v>
      </c>
      <c r="D64" s="21" t="s">
        <v>93</v>
      </c>
      <c r="E64" s="21">
        <v>1500</v>
      </c>
      <c r="F64" s="21">
        <v>10309</v>
      </c>
      <c r="G64" s="21">
        <v>6</v>
      </c>
      <c r="H64" s="22">
        <v>8739.9702</v>
      </c>
      <c r="I64" s="21"/>
    </row>
    <row r="65" s="4" customFormat="1" ht="24.95" customHeight="1" spans="1:9">
      <c r="A65" s="20">
        <v>59</v>
      </c>
      <c r="B65" s="20"/>
      <c r="C65" s="21">
        <v>12</v>
      </c>
      <c r="D65" s="21" t="s">
        <v>93</v>
      </c>
      <c r="E65" s="21">
        <v>1500</v>
      </c>
      <c r="F65" s="21">
        <v>10403</v>
      </c>
      <c r="G65" s="21">
        <v>1</v>
      </c>
      <c r="H65" s="22">
        <v>1469.9439</v>
      </c>
      <c r="I65" s="21"/>
    </row>
    <row r="66" s="4" customFormat="1" ht="24.95" customHeight="1" spans="1:9">
      <c r="A66" s="20">
        <v>60</v>
      </c>
      <c r="B66" s="20"/>
      <c r="C66" s="21">
        <v>12</v>
      </c>
      <c r="D66" s="21" t="s">
        <v>93</v>
      </c>
      <c r="E66" s="21">
        <v>1500</v>
      </c>
      <c r="F66" s="21">
        <v>11129</v>
      </c>
      <c r="G66" s="21">
        <v>3</v>
      </c>
      <c r="H66" s="22">
        <v>4717.5831</v>
      </c>
      <c r="I66" s="21"/>
    </row>
    <row r="67" s="4" customFormat="1" ht="24.95" customHeight="1" spans="1:9">
      <c r="A67" s="20">
        <v>61</v>
      </c>
      <c r="B67" s="20"/>
      <c r="C67" s="21">
        <v>12</v>
      </c>
      <c r="D67" s="21" t="s">
        <v>93</v>
      </c>
      <c r="E67" s="21">
        <v>1500</v>
      </c>
      <c r="F67" s="21">
        <v>11197</v>
      </c>
      <c r="G67" s="21">
        <v>3</v>
      </c>
      <c r="H67" s="22">
        <v>4746.4083</v>
      </c>
      <c r="I67" s="21"/>
    </row>
    <row r="68" s="4" customFormat="1" ht="24.95" customHeight="1" spans="1:9">
      <c r="A68" s="20">
        <v>62</v>
      </c>
      <c r="B68" s="20"/>
      <c r="C68" s="21">
        <v>12</v>
      </c>
      <c r="D68" s="21" t="s">
        <v>93</v>
      </c>
      <c r="E68" s="21">
        <v>1500</v>
      </c>
      <c r="F68" s="21">
        <v>11239</v>
      </c>
      <c r="G68" s="21">
        <v>2</v>
      </c>
      <c r="H68" s="22">
        <v>3176.1414</v>
      </c>
      <c r="I68" s="21"/>
    </row>
    <row r="69" s="4" customFormat="1" ht="24.95" customHeight="1" spans="1:9">
      <c r="A69" s="20">
        <v>63</v>
      </c>
      <c r="B69" s="20"/>
      <c r="C69" s="21">
        <v>12</v>
      </c>
      <c r="D69" s="21" t="s">
        <v>93</v>
      </c>
      <c r="E69" s="21">
        <v>1500</v>
      </c>
      <c r="F69" s="21">
        <v>11667</v>
      </c>
      <c r="G69" s="21">
        <v>1</v>
      </c>
      <c r="H69" s="22">
        <v>1648.5471</v>
      </c>
      <c r="I69" s="21"/>
    </row>
    <row r="70" s="4" customFormat="1" ht="24.95" customHeight="1" spans="1:9">
      <c r="A70" s="20">
        <v>64</v>
      </c>
      <c r="B70" s="20"/>
      <c r="C70" s="23" t="s">
        <v>910</v>
      </c>
      <c r="D70" s="23"/>
      <c r="E70" s="23"/>
      <c r="F70" s="23"/>
      <c r="G70" s="23">
        <f>SUM(G55:G69)</f>
        <v>58</v>
      </c>
      <c r="H70" s="24">
        <f>SUM(H55:H69)</f>
        <v>71933.1453</v>
      </c>
      <c r="I70" s="23"/>
    </row>
    <row r="71" s="4" customFormat="1" ht="24.95" customHeight="1" spans="1:9">
      <c r="A71" s="20">
        <v>65</v>
      </c>
      <c r="B71" s="20"/>
      <c r="C71" s="21"/>
      <c r="D71" s="21"/>
      <c r="E71" s="21"/>
      <c r="F71" s="21"/>
      <c r="G71" s="21"/>
      <c r="H71" s="22"/>
      <c r="I71" s="21"/>
    </row>
    <row r="72" s="4" customFormat="1" ht="24.95" customHeight="1" spans="1:9">
      <c r="A72" s="20">
        <v>66</v>
      </c>
      <c r="B72" s="20"/>
      <c r="C72" s="21">
        <v>14</v>
      </c>
      <c r="D72" s="21" t="s">
        <v>93</v>
      </c>
      <c r="E72" s="21">
        <v>1500</v>
      </c>
      <c r="F72" s="21">
        <v>5801</v>
      </c>
      <c r="G72" s="21">
        <v>1</v>
      </c>
      <c r="H72" s="22">
        <v>956.29485</v>
      </c>
      <c r="I72" s="21"/>
    </row>
    <row r="73" s="4" customFormat="1" ht="24.95" customHeight="1" spans="1:9">
      <c r="A73" s="20">
        <v>67</v>
      </c>
      <c r="B73" s="20"/>
      <c r="C73" s="21">
        <v>14</v>
      </c>
      <c r="D73" s="21" t="s">
        <v>93</v>
      </c>
      <c r="E73" s="21">
        <v>1500</v>
      </c>
      <c r="F73" s="21">
        <v>5806</v>
      </c>
      <c r="G73" s="21">
        <v>1</v>
      </c>
      <c r="H73" s="22">
        <v>957.1191</v>
      </c>
      <c r="I73" s="21"/>
    </row>
    <row r="74" s="4" customFormat="1" ht="24.95" customHeight="1" spans="1:9">
      <c r="A74" s="20">
        <v>68</v>
      </c>
      <c r="B74" s="20"/>
      <c r="C74" s="21">
        <v>14</v>
      </c>
      <c r="D74" s="21" t="s">
        <v>93</v>
      </c>
      <c r="E74" s="21">
        <v>1500</v>
      </c>
      <c r="F74" s="21">
        <v>5956</v>
      </c>
      <c r="G74" s="21">
        <v>7</v>
      </c>
      <c r="H74" s="22">
        <v>6872.9262</v>
      </c>
      <c r="I74" s="21"/>
    </row>
    <row r="75" s="4" customFormat="1" ht="24.95" customHeight="1" spans="1:9">
      <c r="A75" s="20">
        <v>69</v>
      </c>
      <c r="B75" s="20"/>
      <c r="C75" s="21">
        <v>14</v>
      </c>
      <c r="D75" s="21" t="s">
        <v>93</v>
      </c>
      <c r="E75" s="21">
        <v>1500</v>
      </c>
      <c r="F75" s="21">
        <v>6196</v>
      </c>
      <c r="G75" s="21">
        <v>9</v>
      </c>
      <c r="H75" s="22">
        <v>9192.6954</v>
      </c>
      <c r="I75" s="21"/>
    </row>
    <row r="76" s="4" customFormat="1" ht="24.95" customHeight="1" spans="1:9">
      <c r="A76" s="20">
        <v>70</v>
      </c>
      <c r="B76" s="20"/>
      <c r="C76" s="21">
        <v>14</v>
      </c>
      <c r="D76" s="21" t="s">
        <v>93</v>
      </c>
      <c r="E76" s="21">
        <v>1500</v>
      </c>
      <c r="F76" s="21">
        <v>6413</v>
      </c>
      <c r="G76" s="21">
        <v>1</v>
      </c>
      <c r="H76" s="22">
        <v>1057.18305</v>
      </c>
      <c r="I76" s="21"/>
    </row>
    <row r="77" s="4" customFormat="1" ht="24.95" customHeight="1" spans="1:9">
      <c r="A77" s="20">
        <v>71</v>
      </c>
      <c r="B77" s="20"/>
      <c r="C77" s="21">
        <v>14</v>
      </c>
      <c r="D77" s="21" t="s">
        <v>93</v>
      </c>
      <c r="E77" s="21">
        <v>1500</v>
      </c>
      <c r="F77" s="21">
        <v>6866</v>
      </c>
      <c r="G77" s="21">
        <v>8</v>
      </c>
      <c r="H77" s="22">
        <v>9054.8808</v>
      </c>
      <c r="I77" s="21"/>
    </row>
    <row r="78" s="4" customFormat="1" ht="24.95" customHeight="1" spans="1:9">
      <c r="A78" s="20">
        <v>72</v>
      </c>
      <c r="B78" s="20"/>
      <c r="C78" s="21">
        <v>14</v>
      </c>
      <c r="D78" s="21" t="s">
        <v>93</v>
      </c>
      <c r="E78" s="21">
        <v>1500</v>
      </c>
      <c r="F78" s="21">
        <v>7018</v>
      </c>
      <c r="G78" s="21">
        <v>8</v>
      </c>
      <c r="H78" s="22">
        <v>9255.3384</v>
      </c>
      <c r="I78" s="21"/>
    </row>
    <row r="79" s="4" customFormat="1" ht="24.95" customHeight="1" spans="1:9">
      <c r="A79" s="20">
        <v>73</v>
      </c>
      <c r="B79" s="20"/>
      <c r="C79" s="21">
        <v>14</v>
      </c>
      <c r="D79" s="21" t="s">
        <v>93</v>
      </c>
      <c r="E79" s="21">
        <v>1500</v>
      </c>
      <c r="F79" s="21">
        <v>8998</v>
      </c>
      <c r="G79" s="21">
        <v>9</v>
      </c>
      <c r="H79" s="22">
        <v>13349.8827</v>
      </c>
      <c r="I79" s="21"/>
    </row>
    <row r="80" s="4" customFormat="1" ht="24.95" customHeight="1" spans="1:9">
      <c r="A80" s="20">
        <v>74</v>
      </c>
      <c r="B80" s="20"/>
      <c r="C80" s="21">
        <v>14</v>
      </c>
      <c r="D80" s="21" t="s">
        <v>93</v>
      </c>
      <c r="E80" s="21">
        <v>1500</v>
      </c>
      <c r="F80" s="21">
        <v>9225</v>
      </c>
      <c r="G80" s="21">
        <v>1</v>
      </c>
      <c r="H80" s="22">
        <v>1520.74125</v>
      </c>
      <c r="I80" s="21"/>
    </row>
    <row r="81" s="4" customFormat="1" ht="24.95" customHeight="1" spans="1:9">
      <c r="A81" s="20">
        <v>75</v>
      </c>
      <c r="B81" s="20"/>
      <c r="C81" s="21">
        <v>14</v>
      </c>
      <c r="D81" s="21" t="s">
        <v>93</v>
      </c>
      <c r="E81" s="21">
        <v>1500</v>
      </c>
      <c r="F81" s="21">
        <v>9679</v>
      </c>
      <c r="G81" s="21">
        <v>1</v>
      </c>
      <c r="H81" s="22">
        <v>1595.58315</v>
      </c>
      <c r="I81" s="21"/>
    </row>
    <row r="82" s="4" customFormat="1" ht="24.95" customHeight="1" spans="1:9">
      <c r="A82" s="20">
        <v>76</v>
      </c>
      <c r="B82" s="20"/>
      <c r="C82" s="21">
        <v>14</v>
      </c>
      <c r="D82" s="21" t="s">
        <v>93</v>
      </c>
      <c r="E82" s="21">
        <v>1500</v>
      </c>
      <c r="F82" s="21">
        <v>10145</v>
      </c>
      <c r="G82" s="21">
        <v>1</v>
      </c>
      <c r="H82" s="22">
        <v>1672.40325</v>
      </c>
      <c r="I82" s="21"/>
    </row>
    <row r="83" s="4" customFormat="1" ht="24.95" customHeight="1" spans="1:9">
      <c r="A83" s="20">
        <v>77</v>
      </c>
      <c r="B83" s="20"/>
      <c r="C83" s="21">
        <v>14</v>
      </c>
      <c r="D83" s="21" t="s">
        <v>93</v>
      </c>
      <c r="E83" s="21">
        <v>1500</v>
      </c>
      <c r="F83" s="21">
        <v>10429</v>
      </c>
      <c r="G83" s="21">
        <v>5</v>
      </c>
      <c r="H83" s="22">
        <v>8596.10325</v>
      </c>
      <c r="I83" s="21"/>
    </row>
    <row r="84" s="4" customFormat="1" ht="24.95" customHeight="1" spans="1:9">
      <c r="A84" s="20">
        <v>78</v>
      </c>
      <c r="B84" s="20"/>
      <c r="C84" s="21">
        <v>14</v>
      </c>
      <c r="D84" s="21" t="s">
        <v>93</v>
      </c>
      <c r="E84" s="21">
        <v>1500</v>
      </c>
      <c r="F84" s="21">
        <v>10811</v>
      </c>
      <c r="G84" s="21">
        <v>1</v>
      </c>
      <c r="H84" s="22">
        <v>1782.19335</v>
      </c>
      <c r="I84" s="21"/>
    </row>
    <row r="85" s="4" customFormat="1" ht="24.95" customHeight="1" spans="1:9">
      <c r="A85" s="20">
        <v>79</v>
      </c>
      <c r="B85" s="20"/>
      <c r="C85" s="21">
        <v>14</v>
      </c>
      <c r="D85" s="21" t="s">
        <v>93</v>
      </c>
      <c r="E85" s="21">
        <v>1500</v>
      </c>
      <c r="F85" s="21">
        <v>11557</v>
      </c>
      <c r="G85" s="21">
        <v>9</v>
      </c>
      <c r="H85" s="22">
        <v>17146.54305</v>
      </c>
      <c r="I85" s="21"/>
    </row>
    <row r="86" s="4" customFormat="1" ht="24.95" customHeight="1" spans="1:9">
      <c r="A86" s="20">
        <v>80</v>
      </c>
      <c r="B86" s="20"/>
      <c r="C86" s="21">
        <v>14</v>
      </c>
      <c r="D86" s="21" t="s">
        <v>93</v>
      </c>
      <c r="E86" s="21">
        <v>1500</v>
      </c>
      <c r="F86" s="21">
        <v>20485</v>
      </c>
      <c r="G86" s="21">
        <v>3</v>
      </c>
      <c r="H86" s="22">
        <v>10130.85675</v>
      </c>
      <c r="I86" s="21"/>
    </row>
    <row r="87" s="4" customFormat="1" ht="24.95" customHeight="1" spans="1:9">
      <c r="A87" s="20">
        <v>81</v>
      </c>
      <c r="B87" s="20"/>
      <c r="C87" s="23" t="s">
        <v>911</v>
      </c>
      <c r="D87" s="23"/>
      <c r="E87" s="23"/>
      <c r="F87" s="23"/>
      <c r="G87" s="23">
        <f>SUM(G72:G86)</f>
        <v>65</v>
      </c>
      <c r="H87" s="24">
        <f>SUM(H72:H86)</f>
        <v>93140.74455</v>
      </c>
      <c r="I87" s="23"/>
    </row>
    <row r="88" s="4" customFormat="1" ht="24.95" customHeight="1" spans="1:9">
      <c r="A88" s="20">
        <v>82</v>
      </c>
      <c r="B88" s="20"/>
      <c r="C88" s="21"/>
      <c r="D88" s="21"/>
      <c r="E88" s="21"/>
      <c r="F88" s="21"/>
      <c r="G88" s="21"/>
      <c r="H88" s="22"/>
      <c r="I88" s="21"/>
    </row>
    <row r="89" s="4" customFormat="1" ht="24.95" customHeight="1" spans="1:9">
      <c r="A89" s="20">
        <v>83</v>
      </c>
      <c r="B89" s="20"/>
      <c r="C89" s="21">
        <v>16</v>
      </c>
      <c r="D89" s="21" t="s">
        <v>93</v>
      </c>
      <c r="E89" s="21">
        <v>1250</v>
      </c>
      <c r="F89" s="21">
        <v>10025</v>
      </c>
      <c r="G89" s="21">
        <v>28</v>
      </c>
      <c r="H89" s="22">
        <v>44069.9</v>
      </c>
      <c r="I89" s="21"/>
    </row>
    <row r="90" s="4" customFormat="1" ht="24.95" customHeight="1" spans="1:9">
      <c r="A90" s="20">
        <v>84</v>
      </c>
      <c r="B90" s="20"/>
      <c r="C90" s="21">
        <v>16</v>
      </c>
      <c r="D90" s="21" t="s">
        <v>93</v>
      </c>
      <c r="E90" s="21">
        <v>1250</v>
      </c>
      <c r="F90" s="21">
        <v>11325</v>
      </c>
      <c r="G90" s="21">
        <v>4</v>
      </c>
      <c r="H90" s="22">
        <v>7112.1</v>
      </c>
      <c r="I90" s="21"/>
    </row>
    <row r="91" s="4" customFormat="1" ht="24.95" customHeight="1" spans="1:9">
      <c r="A91" s="20">
        <v>85</v>
      </c>
      <c r="B91" s="20"/>
      <c r="C91" s="21">
        <v>16</v>
      </c>
      <c r="D91" s="21" t="s">
        <v>93</v>
      </c>
      <c r="E91" s="21">
        <v>1250</v>
      </c>
      <c r="F91" s="21">
        <v>11557</v>
      </c>
      <c r="G91" s="21">
        <v>2</v>
      </c>
      <c r="H91" s="22">
        <v>3628.898</v>
      </c>
      <c r="I91" s="21"/>
    </row>
    <row r="92" s="4" customFormat="1" ht="24.95" customHeight="1" spans="1:9">
      <c r="A92" s="20">
        <v>86</v>
      </c>
      <c r="B92" s="20"/>
      <c r="C92" s="21">
        <v>16</v>
      </c>
      <c r="D92" s="21" t="s">
        <v>93</v>
      </c>
      <c r="E92" s="21">
        <v>1250</v>
      </c>
      <c r="F92" s="21">
        <v>12215</v>
      </c>
      <c r="G92" s="21">
        <v>3</v>
      </c>
      <c r="H92" s="22">
        <v>5753.265</v>
      </c>
      <c r="I92" s="21"/>
    </row>
    <row r="93" s="4" customFormat="1" ht="24.95" customHeight="1" spans="1:9">
      <c r="A93" s="20">
        <v>87</v>
      </c>
      <c r="B93" s="20"/>
      <c r="C93" s="21">
        <v>16</v>
      </c>
      <c r="D93" s="21" t="s">
        <v>93</v>
      </c>
      <c r="E93" s="21">
        <v>1250</v>
      </c>
      <c r="F93" s="21">
        <v>16985</v>
      </c>
      <c r="G93" s="21">
        <v>2</v>
      </c>
      <c r="H93" s="22">
        <v>5333.29</v>
      </c>
      <c r="I93" s="21"/>
    </row>
    <row r="94" s="4" customFormat="1" ht="24.95" customHeight="1" spans="1:9">
      <c r="A94" s="20">
        <v>88</v>
      </c>
      <c r="B94" s="20"/>
      <c r="C94" s="21">
        <v>16</v>
      </c>
      <c r="D94" s="21" t="s">
        <v>93</v>
      </c>
      <c r="E94" s="21">
        <v>1250</v>
      </c>
      <c r="F94" s="21">
        <v>17875</v>
      </c>
      <c r="G94" s="21">
        <v>6</v>
      </c>
      <c r="H94" s="22">
        <v>16838.25</v>
      </c>
      <c r="I94" s="21"/>
    </row>
    <row r="95" s="4" customFormat="1" ht="24.95" customHeight="1" spans="1:9">
      <c r="A95" s="20">
        <v>89</v>
      </c>
      <c r="B95" s="20"/>
      <c r="C95" s="23" t="s">
        <v>912</v>
      </c>
      <c r="D95" s="23"/>
      <c r="E95" s="23"/>
      <c r="F95" s="23"/>
      <c r="G95" s="23">
        <f>SUM(G89:G94)</f>
        <v>45</v>
      </c>
      <c r="H95" s="24">
        <f>SUM(H89:H94)</f>
        <v>82735.703</v>
      </c>
      <c r="I95" s="23"/>
    </row>
    <row r="96" s="4" customFormat="1" ht="24.95" customHeight="1" spans="1:9">
      <c r="A96" s="20">
        <v>90</v>
      </c>
      <c r="B96" s="20"/>
      <c r="C96" s="21"/>
      <c r="D96" s="21"/>
      <c r="E96" s="21"/>
      <c r="F96" s="21"/>
      <c r="G96" s="21"/>
      <c r="H96" s="22"/>
      <c r="I96" s="21"/>
    </row>
    <row r="97" s="4" customFormat="1" ht="24.95" customHeight="1" spans="1:9">
      <c r="A97" s="20">
        <v>91</v>
      </c>
      <c r="B97" s="20"/>
      <c r="C97" s="21">
        <v>20</v>
      </c>
      <c r="D97" s="21" t="s">
        <v>93</v>
      </c>
      <c r="E97" s="21">
        <v>1500</v>
      </c>
      <c r="F97" s="21">
        <v>5140</v>
      </c>
      <c r="G97" s="21">
        <v>1</v>
      </c>
      <c r="H97" s="22">
        <v>1210.47</v>
      </c>
      <c r="I97" s="21"/>
    </row>
    <row r="98" s="4" customFormat="1" ht="24.95" customHeight="1" spans="1:9">
      <c r="A98" s="20">
        <v>92</v>
      </c>
      <c r="B98" s="20"/>
      <c r="C98" s="21">
        <v>20</v>
      </c>
      <c r="D98" s="21" t="s">
        <v>93</v>
      </c>
      <c r="E98" s="21">
        <v>1500</v>
      </c>
      <c r="F98" s="21">
        <v>5515</v>
      </c>
      <c r="G98" s="21">
        <v>1</v>
      </c>
      <c r="H98" s="22">
        <v>1298.7825</v>
      </c>
      <c r="I98" s="21"/>
    </row>
    <row r="99" s="4" customFormat="1" ht="24.95" customHeight="1" spans="1:9">
      <c r="A99" s="20">
        <v>93</v>
      </c>
      <c r="B99" s="20"/>
      <c r="C99" s="21">
        <v>20</v>
      </c>
      <c r="D99" s="21" t="s">
        <v>93</v>
      </c>
      <c r="E99" s="21">
        <v>1500</v>
      </c>
      <c r="F99" s="21">
        <v>5670</v>
      </c>
      <c r="G99" s="21">
        <v>6</v>
      </c>
      <c r="H99" s="22">
        <v>8011.71</v>
      </c>
      <c r="I99" s="21"/>
    </row>
    <row r="100" s="4" customFormat="1" ht="24.95" customHeight="1" spans="1:9">
      <c r="A100" s="20">
        <v>94</v>
      </c>
      <c r="B100" s="20"/>
      <c r="C100" s="21">
        <v>20</v>
      </c>
      <c r="D100" s="21" t="s">
        <v>93</v>
      </c>
      <c r="E100" s="21">
        <v>1500</v>
      </c>
      <c r="F100" s="21">
        <v>6196</v>
      </c>
      <c r="G100" s="21">
        <v>6</v>
      </c>
      <c r="H100" s="22">
        <v>8754.948</v>
      </c>
      <c r="I100" s="21"/>
    </row>
    <row r="101" s="4" customFormat="1" ht="24.95" customHeight="1" spans="1:9">
      <c r="A101" s="20">
        <v>95</v>
      </c>
      <c r="B101" s="20"/>
      <c r="C101" s="21">
        <v>20</v>
      </c>
      <c r="D101" s="21" t="s">
        <v>93</v>
      </c>
      <c r="E101" s="21">
        <v>1500</v>
      </c>
      <c r="F101" s="21">
        <v>6580</v>
      </c>
      <c r="G101" s="21">
        <v>7</v>
      </c>
      <c r="H101" s="22">
        <v>10847.13</v>
      </c>
      <c r="I101" s="21"/>
    </row>
    <row r="102" s="4" customFormat="1" ht="24.95" customHeight="1" spans="1:9">
      <c r="A102" s="20">
        <v>96</v>
      </c>
      <c r="B102" s="20"/>
      <c r="C102" s="21">
        <v>20</v>
      </c>
      <c r="D102" s="21" t="s">
        <v>93</v>
      </c>
      <c r="E102" s="21">
        <v>1500</v>
      </c>
      <c r="F102" s="21">
        <v>6730</v>
      </c>
      <c r="G102" s="21">
        <v>5</v>
      </c>
      <c r="H102" s="22">
        <v>7924.575</v>
      </c>
      <c r="I102" s="21"/>
    </row>
    <row r="103" s="4" customFormat="1" ht="24.95" customHeight="1" spans="1:9">
      <c r="A103" s="20">
        <v>97</v>
      </c>
      <c r="B103" s="20"/>
      <c r="C103" s="21">
        <v>20</v>
      </c>
      <c r="D103" s="21" t="s">
        <v>93</v>
      </c>
      <c r="E103" s="21">
        <v>1500</v>
      </c>
      <c r="F103" s="21">
        <v>6780</v>
      </c>
      <c r="G103" s="21">
        <v>6</v>
      </c>
      <c r="H103" s="22">
        <v>9580.14</v>
      </c>
      <c r="I103" s="21"/>
    </row>
    <row r="104" s="4" customFormat="1" ht="24.95" customHeight="1" spans="1:9">
      <c r="A104" s="20">
        <v>98</v>
      </c>
      <c r="B104" s="20"/>
      <c r="C104" s="21">
        <v>20</v>
      </c>
      <c r="D104" s="21" t="s">
        <v>93</v>
      </c>
      <c r="E104" s="21">
        <v>1500</v>
      </c>
      <c r="F104" s="21">
        <v>8998</v>
      </c>
      <c r="G104" s="21">
        <v>6</v>
      </c>
      <c r="H104" s="22">
        <v>12714.174</v>
      </c>
      <c r="I104" s="21"/>
    </row>
    <row r="105" s="4" customFormat="1" ht="24.95" customHeight="1" spans="1:9">
      <c r="A105" s="20">
        <v>99</v>
      </c>
      <c r="B105" s="20"/>
      <c r="C105" s="21">
        <v>20</v>
      </c>
      <c r="D105" s="21" t="s">
        <v>93</v>
      </c>
      <c r="E105" s="21">
        <v>1500</v>
      </c>
      <c r="F105" s="21">
        <v>9079</v>
      </c>
      <c r="G105" s="21">
        <v>1</v>
      </c>
      <c r="H105" s="22">
        <v>2138.1045</v>
      </c>
      <c r="I105" s="21"/>
    </row>
    <row r="106" s="4" customFormat="1" ht="24.95" customHeight="1" spans="1:9">
      <c r="A106" s="20">
        <v>100</v>
      </c>
      <c r="B106" s="20"/>
      <c r="C106" s="21">
        <v>20</v>
      </c>
      <c r="D106" s="21" t="s">
        <v>93</v>
      </c>
      <c r="E106" s="21">
        <v>1500</v>
      </c>
      <c r="F106" s="21">
        <v>9280</v>
      </c>
      <c r="G106" s="21">
        <v>5</v>
      </c>
      <c r="H106" s="22">
        <v>10927.2</v>
      </c>
      <c r="I106" s="21"/>
    </row>
    <row r="107" s="4" customFormat="1" ht="24.95" customHeight="1" spans="1:9">
      <c r="A107" s="20">
        <v>101</v>
      </c>
      <c r="B107" s="20"/>
      <c r="C107" s="21">
        <v>20</v>
      </c>
      <c r="D107" s="21" t="s">
        <v>93</v>
      </c>
      <c r="E107" s="21">
        <v>1500</v>
      </c>
      <c r="F107" s="21">
        <v>9671</v>
      </c>
      <c r="G107" s="21">
        <v>2</v>
      </c>
      <c r="H107" s="22">
        <v>4555.041</v>
      </c>
      <c r="I107" s="21"/>
    </row>
    <row r="108" s="4" customFormat="1" ht="24.95" customHeight="1" spans="1:9">
      <c r="A108" s="20">
        <v>102</v>
      </c>
      <c r="B108" s="20"/>
      <c r="C108" s="21">
        <v>20</v>
      </c>
      <c r="D108" s="21" t="s">
        <v>93</v>
      </c>
      <c r="E108" s="21">
        <v>1500</v>
      </c>
      <c r="F108" s="21">
        <v>9679</v>
      </c>
      <c r="G108" s="21">
        <v>4</v>
      </c>
      <c r="H108" s="22">
        <v>9117.618</v>
      </c>
      <c r="I108" s="21"/>
    </row>
    <row r="109" s="4" customFormat="1" ht="24.95" customHeight="1" spans="1:9">
      <c r="A109" s="20">
        <v>103</v>
      </c>
      <c r="B109" s="20"/>
      <c r="C109" s="21">
        <v>20</v>
      </c>
      <c r="D109" s="21" t="s">
        <v>93</v>
      </c>
      <c r="E109" s="21">
        <v>1500</v>
      </c>
      <c r="F109" s="21">
        <v>10145</v>
      </c>
      <c r="G109" s="21">
        <v>10</v>
      </c>
      <c r="H109" s="22">
        <v>23891.475</v>
      </c>
      <c r="I109" s="21"/>
    </row>
    <row r="110" s="4" customFormat="1" ht="24.95" customHeight="1" spans="1:9">
      <c r="A110" s="20">
        <v>104</v>
      </c>
      <c r="B110" s="20"/>
      <c r="C110" s="21">
        <v>20</v>
      </c>
      <c r="D110" s="21" t="s">
        <v>93</v>
      </c>
      <c r="E110" s="21">
        <v>1500</v>
      </c>
      <c r="F110" s="21">
        <v>11557</v>
      </c>
      <c r="G110" s="21">
        <v>1</v>
      </c>
      <c r="H110" s="22">
        <v>2721.6735</v>
      </c>
      <c r="I110" s="21"/>
    </row>
    <row r="111" s="4" customFormat="1" ht="24.95" customHeight="1" spans="1:9">
      <c r="A111" s="20">
        <v>105</v>
      </c>
      <c r="B111" s="20"/>
      <c r="C111" s="21">
        <v>20</v>
      </c>
      <c r="D111" s="21" t="s">
        <v>93</v>
      </c>
      <c r="E111" s="21">
        <v>1500</v>
      </c>
      <c r="F111" s="21">
        <v>11667</v>
      </c>
      <c r="G111" s="21">
        <v>1</v>
      </c>
      <c r="H111" s="22">
        <v>2747.5785</v>
      </c>
      <c r="I111" s="21"/>
    </row>
    <row r="112" s="4" customFormat="1" ht="24.95" customHeight="1" spans="1:9">
      <c r="A112" s="20">
        <v>106</v>
      </c>
      <c r="B112" s="20"/>
      <c r="C112" s="23" t="s">
        <v>913</v>
      </c>
      <c r="D112" s="23"/>
      <c r="E112" s="23"/>
      <c r="F112" s="23"/>
      <c r="G112" s="23">
        <f>SUM(G97:G111)</f>
        <v>62</v>
      </c>
      <c r="H112" s="24">
        <f>SUM(H97:H111)</f>
        <v>116440.62</v>
      </c>
      <c r="I112" s="23"/>
    </row>
    <row r="113" s="4" customFormat="1" ht="24.95" customHeight="1" spans="1:9">
      <c r="A113" s="20">
        <v>107</v>
      </c>
      <c r="B113" s="20"/>
      <c r="C113" s="21"/>
      <c r="D113" s="21"/>
      <c r="E113" s="21"/>
      <c r="F113" s="21"/>
      <c r="G113" s="21"/>
      <c r="H113" s="22"/>
      <c r="I113" s="21"/>
    </row>
    <row r="114" s="4" customFormat="1" ht="24.95" customHeight="1" spans="1:9">
      <c r="A114" s="20">
        <v>108</v>
      </c>
      <c r="B114" s="20"/>
      <c r="C114" s="21">
        <v>25</v>
      </c>
      <c r="D114" s="21" t="s">
        <v>93</v>
      </c>
      <c r="E114" s="21">
        <v>1500</v>
      </c>
      <c r="F114" s="21">
        <v>6196</v>
      </c>
      <c r="G114" s="21">
        <v>6</v>
      </c>
      <c r="H114" s="22">
        <v>10943.685</v>
      </c>
      <c r="I114" s="21"/>
    </row>
    <row r="115" s="4" customFormat="1" ht="24.95" customHeight="1" spans="1:9">
      <c r="A115" s="20">
        <v>109</v>
      </c>
      <c r="B115" s="20"/>
      <c r="C115" s="21">
        <v>25</v>
      </c>
      <c r="D115" s="21" t="s">
        <v>93</v>
      </c>
      <c r="E115" s="21">
        <v>1500</v>
      </c>
      <c r="F115" s="21">
        <v>8998</v>
      </c>
      <c r="G115" s="21">
        <v>7</v>
      </c>
      <c r="H115" s="22">
        <v>18541.50375</v>
      </c>
      <c r="I115" s="21"/>
    </row>
    <row r="116" s="4" customFormat="1" ht="24.95" customHeight="1" spans="1:9">
      <c r="A116" s="20">
        <v>110</v>
      </c>
      <c r="B116" s="20"/>
      <c r="C116" s="21">
        <v>25</v>
      </c>
      <c r="D116" s="21" t="s">
        <v>93</v>
      </c>
      <c r="E116" s="21">
        <v>1500</v>
      </c>
      <c r="F116" s="21">
        <v>10025</v>
      </c>
      <c r="G116" s="21">
        <v>37</v>
      </c>
      <c r="H116" s="22">
        <v>109191.046875</v>
      </c>
      <c r="I116" s="21"/>
    </row>
    <row r="117" s="4" customFormat="1" ht="24.95" customHeight="1" spans="1:9">
      <c r="A117" s="20">
        <v>111</v>
      </c>
      <c r="B117" s="20"/>
      <c r="C117" s="21">
        <v>25</v>
      </c>
      <c r="D117" s="21" t="s">
        <v>93</v>
      </c>
      <c r="E117" s="21">
        <v>1500</v>
      </c>
      <c r="F117" s="21">
        <v>11325</v>
      </c>
      <c r="G117" s="21">
        <v>8</v>
      </c>
      <c r="H117" s="22">
        <v>26670.375</v>
      </c>
      <c r="I117" s="21"/>
    </row>
    <row r="118" s="4" customFormat="1" ht="24.95" customHeight="1" spans="1:9">
      <c r="A118" s="20">
        <v>112</v>
      </c>
      <c r="B118" s="20"/>
      <c r="C118" s="21">
        <v>25</v>
      </c>
      <c r="D118" s="21" t="s">
        <v>93</v>
      </c>
      <c r="E118" s="21">
        <v>1500</v>
      </c>
      <c r="F118" s="21">
        <v>12215</v>
      </c>
      <c r="G118" s="21">
        <v>3</v>
      </c>
      <c r="H118" s="22">
        <v>10787.371875</v>
      </c>
      <c r="I118" s="21"/>
    </row>
    <row r="119" s="4" customFormat="1" ht="24.95" customHeight="1" spans="1:9">
      <c r="A119" s="20">
        <v>113</v>
      </c>
      <c r="B119" s="20"/>
      <c r="C119" s="21">
        <v>25</v>
      </c>
      <c r="D119" s="21" t="s">
        <v>93</v>
      </c>
      <c r="E119" s="21">
        <v>1500</v>
      </c>
      <c r="F119" s="21">
        <v>16985</v>
      </c>
      <c r="G119" s="21">
        <v>3</v>
      </c>
      <c r="H119" s="22">
        <v>14999.878125</v>
      </c>
      <c r="I119" s="21"/>
    </row>
    <row r="120" s="4" customFormat="1" ht="24.95" customHeight="1" spans="1:9">
      <c r="A120" s="20">
        <v>114</v>
      </c>
      <c r="B120" s="20"/>
      <c r="C120" s="21">
        <v>25</v>
      </c>
      <c r="D120" s="21" t="s">
        <v>93</v>
      </c>
      <c r="E120" s="21">
        <v>1500</v>
      </c>
      <c r="F120" s="21">
        <v>17875</v>
      </c>
      <c r="G120" s="21">
        <v>8</v>
      </c>
      <c r="H120" s="22">
        <v>42095.625</v>
      </c>
      <c r="I120" s="21"/>
    </row>
    <row r="121" s="4" customFormat="1" ht="24.95" customHeight="1" spans="1:9">
      <c r="A121" s="20">
        <v>115</v>
      </c>
      <c r="B121" s="20"/>
      <c r="C121" s="23" t="s">
        <v>914</v>
      </c>
      <c r="D121" s="23"/>
      <c r="E121" s="23"/>
      <c r="F121" s="23"/>
      <c r="G121" s="23">
        <f>SUM(G114:G120)</f>
        <v>72</v>
      </c>
      <c r="H121" s="24">
        <f>SUM(H114:H120)</f>
        <v>233229.485625</v>
      </c>
      <c r="I121" s="23"/>
    </row>
    <row r="122" ht="24.95" customHeight="1" spans="1:12">
      <c r="A122" s="25"/>
      <c r="B122" s="25"/>
      <c r="C122" s="26"/>
      <c r="D122" s="26"/>
      <c r="E122" s="27"/>
      <c r="F122" s="26" t="s">
        <v>522</v>
      </c>
      <c r="G122" s="28">
        <f>SUM(G7:G121)/2</f>
        <v>409</v>
      </c>
      <c r="H122" s="29">
        <f>H121+H112+H95+H87+H70+H53+H31+H10</f>
        <v>702538.226675</v>
      </c>
      <c r="I122" s="29" t="s">
        <v>24</v>
      </c>
      <c r="J122" s="30" t="s">
        <v>523</v>
      </c>
      <c r="L122" s="31"/>
    </row>
  </sheetData>
  <mergeCells count="126">
    <mergeCell ref="A1:I1"/>
    <mergeCell ref="A2:E2"/>
    <mergeCell ref="F2:I2"/>
    <mergeCell ref="A3:B3"/>
    <mergeCell ref="C3:I3"/>
    <mergeCell ref="A4:B4"/>
    <mergeCell ref="C4:I4"/>
    <mergeCell ref="A5:B5"/>
    <mergeCell ref="C5:I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</mergeCells>
  <printOptions horizontalCentered="1"/>
  <pageMargins left="0.590551181102362" right="0.196850393700787" top="0.393700787401575" bottom="0.393700787401575" header="0.511811023622047" footer="0.15748031496063"/>
  <pageSetup paperSize="9" scale="50" fitToHeight="0" orientation="portrait"/>
  <headerFooter alignWithMargins="0">
    <oddHeader>&amp;R&amp;"宋体,常规"第&amp;"Swis721 Cn BT,Roman" &amp;P &amp;"宋体,常规"页，共&amp;"Swis721 Cn BT,Roman" &amp;N &amp;"宋体,常规"页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www.liangli.net</Company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清单封面</vt:lpstr>
      <vt:lpstr>备料清单</vt:lpstr>
      <vt:lpstr>结算清单(总构件清单)</vt:lpstr>
      <vt:lpstr>构件清单-1（普通构件）</vt:lpstr>
      <vt:lpstr>构件清单-2（外购材料构件）</vt:lpstr>
      <vt:lpstr>构件清单-3（箱型构件）</vt:lpstr>
      <vt:lpstr>构件清单-4（钢梯&amp;栏杆）</vt:lpstr>
      <vt:lpstr>构件清单-5（檩条&amp;拉条）</vt:lpstr>
      <vt:lpstr>零件清单</vt:lpstr>
      <vt:lpstr>组立清单</vt:lpstr>
      <vt:lpstr>排板清单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模板2</dc:title>
  <dc:creator>江增锋</dc:creator>
  <cp:lastModifiedBy>get  close</cp:lastModifiedBy>
  <dcterms:created xsi:type="dcterms:W3CDTF">2006-10-24T05:29:00Z</dcterms:created>
  <cp:lastPrinted>2024-12-01T23:33:00Z</cp:lastPrinted>
  <dcterms:modified xsi:type="dcterms:W3CDTF">2025-02-09T08:09:43Z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2052-12.1.0.20260</vt:lpwstr>
  </property>
  <property fmtid="{D5CDD505-2E9C-101B-9397-08002B2CF9AE}" pid="3" name="KSOReadingLayout">
    <vt:bool>false</vt:bool>
  </property>
  <property fmtid="{D5CDD505-2E9C-101B-9397-08002B2CF9AE}" pid="4" name="ICV">
    <vt:lpwstr>12ECD483853D4897A160054688EAEF26</vt:lpwstr>
  </property>
</Properties>
</file>